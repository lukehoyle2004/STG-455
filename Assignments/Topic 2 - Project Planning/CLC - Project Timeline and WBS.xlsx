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BS and Gantt" sheetId="1" state="visible" r:id="rId3"/>
    <sheet name="Assumptions" sheetId="2" state="visible" r:id="rId4"/>
  </sheets>
  <definedNames>
    <definedName function="false" hidden="false" localSheetId="0" name="_xlnm.Print_Titles" vbProcedure="false">'WBS and Gantt'!$3:$4</definedName>
    <definedName function="false" hidden="false" name="ClaudeMonths" vbProcedure="false">Assumptions!$B$8</definedName>
    <definedName function="false" hidden="false" name="ClaudeRate" vbProcedure="false">Assumptions!$B$6</definedName>
    <definedName function="false" hidden="false" name="Holidays" vbProcedure="false">Assumptions!$A$13:$A$14</definedName>
    <definedName function="false" hidden="false" name="HrsPerDay" vbProcedure="false">Assumptions!$B$5</definedName>
    <definedName function="false" hidden="false" name="ProjectStart" vbProcedure="false">Assumptions!$B$4</definedName>
    <definedName function="false" hidden="false" name="TeamBudget" vbProcedure="false">Assumptions!$B$9</definedName>
    <definedName function="false" hidden="false" name="TeamSize" vbProcedure="false">Assumptions!$B$7</definedName>
    <definedName function="false" hidden="false" name="TermEnd" vbProcedure="false">Assumptions!$B$10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N6" authorId="0">
      <text>
        <r>
          <rPr>
            <sz val="10"/>
            <rFont val="Arial"/>
            <family val="2"/>
          </rPr>
          <t xml:space="preserve">Actual finish 10/02/2026 per the project status report.</t>
        </r>
      </text>
    </comment>
  </commentList>
</comments>
</file>

<file path=xl/sharedStrings.xml><?xml version="1.0" encoding="utf-8"?>
<sst xmlns="http://schemas.openxmlformats.org/spreadsheetml/2006/main" count="400" uniqueCount="273">
  <si>
    <t xml:space="preserve">STG-455 Production Release Engineering for a Cross Platform Mobile Application: Work Breakdown Structure and Gantt Chart (Term One)</t>
  </si>
  <si>
    <t xml:space="preserve">Edit blue/yellow cells only. Enter actual finish dates in the Actual finish column as tasks complete. Costs and tools follow the team BOM; see the Assumptions sheet for sources and the legend.</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</si>
  <si>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</si>
  <si>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</si>
  <si>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</si>
  <si>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</si>
  <si>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</si>
  <si>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</si>
  <si>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</si>
  <si>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</si>
  <si>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</si>
  <si>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</si>
  <si>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</si>
  <si>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</si>
  <si>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ID</t>
  </si>
  <si>
    <t xml:space="preserve">Milestone / Task</t>
  </si>
  <si>
    <t xml:space="preserve">Resources</t>
  </si>
  <si>
    <t xml:space="preserve">People</t>
  </si>
  <si>
    <t xml:space="preserve">Duration (workdays)</t>
  </si>
  <si>
    <t xml:space="preserve">Predecessors</t>
  </si>
  <si>
    <t xml:space="preserve">Successors</t>
  </si>
  <si>
    <t xml:space="preserve">Start</t>
  </si>
  <si>
    <t xml:space="preserve">Finish</t>
  </si>
  <si>
    <t xml:space="preserve">Labor hours</t>
  </si>
  <si>
    <t xml:space="preserve">Direct cost: team budget</t>
  </si>
  <si>
    <t xml:space="preserve">Direct cost: paid by Studio XE</t>
  </si>
  <si>
    <t xml:space="preserve">Total cost</t>
  </si>
  <si>
    <t xml:space="preserve">Actual finish</t>
  </si>
  <si>
    <t xml:space="preserve">Status</t>
  </si>
  <si>
    <t xml:space="preserve">M1</t>
  </si>
  <si>
    <t xml:space="preserve">Project Onboarding and Requirements</t>
  </si>
  <si>
    <t xml:space="preserve">1.1</t>
  </si>
  <si>
    <t xml:space="preserve">Project onboarding, NDAs, and kickoff</t>
  </si>
  <si>
    <t xml:space="preserve">Team Lead, Members A-C; Studio XE sponsor</t>
  </si>
  <si>
    <t xml:space="preserve">None</t>
  </si>
  <si>
    <t xml:space="preserve">1.2</t>
  </si>
  <si>
    <t xml:space="preserve">Obtain access to Studio XE source repositories (GitHub), staging backend, and test accounts</t>
  </si>
  <si>
    <t xml:space="preserve">Team Lead; Studio XE sponsor (1-5 business days after NDA)</t>
  </si>
  <si>
    <t xml:space="preserve">1.3, 1.5, 2.1</t>
  </si>
  <si>
    <t xml:space="preserve">1.3</t>
  </si>
  <si>
    <t xml:space="preserve">Analyze app architecture and all 19 screens</t>
  </si>
  <si>
    <t xml:space="preserve">Members A-C; Studio XE source code</t>
  </si>
  <si>
    <t xml:space="preserve">1.4</t>
  </si>
  <si>
    <t xml:space="preserve">Complete requirements and technology review</t>
  </si>
  <si>
    <t xml:space="preserve">Team Lead, Members A-C</t>
  </si>
  <si>
    <t xml:space="preserve">1.6, 6.1</t>
  </si>
  <si>
    <t xml:space="preserve">1.5</t>
  </si>
  <si>
    <t xml:space="preserve">Learn required technologies (Expo EAS, Sentry, Maestro, GitHub Actions)</t>
  </si>
  <si>
    <t xml:space="preserve">Members A-C; vendor documentation</t>
  </si>
  <si>
    <t xml:space="preserve">1.6, 2.2</t>
  </si>
  <si>
    <t xml:space="preserve">1.6</t>
  </si>
  <si>
    <t xml:space="preserve">Establish development plan and confirm tools</t>
  </si>
  <si>
    <t xml:space="preserve">1.4, 1.5</t>
  </si>
  <si>
    <t xml:space="preserve">3.1, 5.1</t>
  </si>
  <si>
    <t xml:space="preserve">M2</t>
  </si>
  <si>
    <t xml:space="preserve">Developer Accounts and Early Store Submission</t>
  </si>
  <si>
    <t xml:space="preserve">2.1</t>
  </si>
  <si>
    <t xml:space="preserve">Get access to the partner Apple Developer, Google Play Console, and Expo accounts</t>
  </si>
  <si>
    <t xml:space="preserve">Team Lead, Member A; Studio XE pays $99 Apple and $25 Google fees</t>
  </si>
  <si>
    <t xml:space="preserve">2.2</t>
  </si>
  <si>
    <t xml:space="preserve">Configure EAS Build, signing credentials, and first minimal build</t>
  </si>
  <si>
    <t xml:space="preserve">Member A, Member B; partner Expo organization (EAS); Xcode and Android Studio</t>
  </si>
  <si>
    <t xml:space="preserve">2.1, 1.5</t>
  </si>
  <si>
    <t xml:space="preserve">2.3, 3.1, 4.1</t>
  </si>
  <si>
    <t xml:space="preserve">2.3</t>
  </si>
  <si>
    <t xml:space="preserve">Submit minimal build to TestFlight and Google Play internal testing</t>
  </si>
  <si>
    <t xml:space="preserve">Member A, Member B; developer accounts</t>
  </si>
  <si>
    <t xml:space="preserve">2.4, 6.3</t>
  </si>
  <si>
    <t xml:space="preserve">2.4</t>
  </si>
  <si>
    <t xml:space="preserve">Monitor store review (Beta App Review 24-48 hours; first Google Play review up to 7 days) and address feedback</t>
  </si>
  <si>
    <t xml:space="preserve">M3</t>
  </si>
  <si>
    <t xml:space="preserve">Crash and Error Reporting</t>
  </si>
  <si>
    <t xml:space="preserve">3.1</t>
  </si>
  <si>
    <t xml:space="preserve">Integrate Sentry React Native SDK in the app</t>
  </si>
  <si>
    <t xml:space="preserve">Member B, Member C; partner Sentry organization; app source code</t>
  </si>
  <si>
    <t xml:space="preserve">3.2, 3.3</t>
  </si>
  <si>
    <t xml:space="preserve">3.2</t>
  </si>
  <si>
    <t xml:space="preserve">Configure reporting for all build configurations (development, preview, production) with source map upload from EAS builds</t>
  </si>
  <si>
    <t xml:space="preserve">Member B, Member C; EAS build profiles</t>
  </si>
  <si>
    <t xml:space="preserve">3.4, 3.5</t>
  </si>
  <si>
    <t xml:space="preserve">3.3</t>
  </si>
  <si>
    <t xml:space="preserve">Enable Sentry PII scrubbing so reports exclude personal, financial, and health data</t>
  </si>
  <si>
    <t xml:space="preserve">Member C; Sentry settings</t>
  </si>
  <si>
    <t xml:space="preserve">3.4</t>
  </si>
  <si>
    <t xml:space="preserve">Write triage process and runbook</t>
  </si>
  <si>
    <t xml:space="preserve">Member B, Member C</t>
  </si>
  <si>
    <t xml:space="preserve">7.1, 8.2</t>
  </si>
  <si>
    <t xml:space="preserve">3.5</t>
  </si>
  <si>
    <t xml:space="preserve">Verify reporting with test crashes on both platforms</t>
  </si>
  <si>
    <t xml:space="preserve">Member B, Member C; test devices</t>
  </si>
  <si>
    <t xml:space="preserve">M4</t>
  </si>
  <si>
    <t xml:space="preserve">Build-and-Submit Pipeline</t>
  </si>
  <si>
    <t xml:space="preserve">4.1</t>
  </si>
  <si>
    <t xml:space="preserve">Define EAS build profiles and automate signing credential handling</t>
  </si>
  <si>
    <t xml:space="preserve">Member A, Member B; EAS</t>
  </si>
  <si>
    <t xml:space="preserve">4.2, 4.3</t>
  </si>
  <si>
    <t xml:space="preserve">4.2</t>
  </si>
  <si>
    <t xml:space="preserve">Create single-command build-and-submit for iOS and Android</t>
  </si>
  <si>
    <t xml:space="preserve">Member A, Member B; EAS Build and Submit; Node.js and EAS CLI</t>
  </si>
  <si>
    <t xml:space="preserve">4.4, 5.4</t>
  </si>
  <si>
    <t xml:space="preserve">4.3</t>
  </si>
  <si>
    <t xml:space="preserve">Secure signing secrets used by the pipeline (GitHub secrets)</t>
  </si>
  <si>
    <t xml:space="preserve">Member A; GitHub Actions secrets</t>
  </si>
  <si>
    <t xml:space="preserve">4.4</t>
  </si>
  <si>
    <t xml:space="preserve">Document the pipeline</t>
  </si>
  <si>
    <t xml:space="preserve">Member A, Member B</t>
  </si>
  <si>
    <t xml:space="preserve">4.5</t>
  </si>
  <si>
    <t xml:space="preserve">Validate the pipeline end to end from a clean checkout</t>
  </si>
  <si>
    <t xml:space="preserve">Member A, Member B; test devices</t>
  </si>
  <si>
    <t xml:space="preserve">M5</t>
  </si>
  <si>
    <t xml:space="preserve">Automated Smoke Test in Continuous Integration</t>
  </si>
  <si>
    <t xml:space="preserve">5.1</t>
  </si>
  <si>
    <t xml:space="preserve">Set up Maestro CLI (Java 17+) and a GitHub Actions workflow on the partner repository</t>
  </si>
  <si>
    <t xml:space="preserve">Member C, Team Lead; GitHub Actions (partner-billed)</t>
  </si>
  <si>
    <t xml:space="preserve">5.2</t>
  </si>
  <si>
    <t xml:space="preserve">Build test harness: staging test accounts (no production data) and stable testIDs</t>
  </si>
  <si>
    <t xml:space="preserve">Member C, Member B; staging backend</t>
  </si>
  <si>
    <t xml:space="preserve">5.3</t>
  </si>
  <si>
    <t xml:space="preserve">Write Maestro flows covering all 19 screens</t>
  </si>
  <si>
    <t xml:space="preserve">Member C, Member B, Team Lead; Maestro CLI</t>
  </si>
  <si>
    <t xml:space="preserve">5.4</t>
  </si>
  <si>
    <t xml:space="preserve">Run smoke test in CI on every pull request</t>
  </si>
  <si>
    <t xml:space="preserve">Member C; GitHub Actions</t>
  </si>
  <si>
    <t xml:space="preserve">5.3, 4.2</t>
  </si>
  <si>
    <t xml:space="preserve">5.5, 7.1</t>
  </si>
  <si>
    <t xml:space="preserve">5.5</t>
  </si>
  <si>
    <t xml:space="preserve">Stabilize flaky tests and document how to run them</t>
  </si>
  <si>
    <t xml:space="preserve">Member C, Member B</t>
  </si>
  <si>
    <t xml:space="preserve">8.2</t>
  </si>
  <si>
    <t xml:space="preserve">M6</t>
  </si>
  <si>
    <t xml:space="preserve">OS and Device Support Matrix</t>
  </si>
  <si>
    <t xml:space="preserve">6.1</t>
  </si>
  <si>
    <t xml:space="preserve">Identify current and two prior major iOS and Android versions; define matrix</t>
  </si>
  <si>
    <t xml:space="preserve">Team Lead, Member C</t>
  </si>
  <si>
    <t xml:space="preserve">6.2</t>
  </si>
  <si>
    <t xml:space="preserve">Purchase and set up developer phones (iPhone and Pixel); gather team members' older-iOS phones</t>
  </si>
  <si>
    <t xml:space="preserve">Team Lead; Studio XE pays $2,500 for 2 phones (1-3 business days after approval)</t>
  </si>
  <si>
    <t xml:space="preserve">6.3</t>
  </si>
  <si>
    <t xml:space="preserve">Run validation on physical devices, iOS Simulator, and Android emulators across the matrix</t>
  </si>
  <si>
    <t xml:space="preserve">Members A-C; phones, Xcode, Android Studio; builds from pipeline</t>
  </si>
  <si>
    <t xml:space="preserve">6.2, 2.3</t>
  </si>
  <si>
    <t xml:space="preserve">6.4</t>
  </si>
  <si>
    <t xml:space="preserve">Document results and known issues in the support matrix</t>
  </si>
  <si>
    <t xml:space="preserve">Member C, Team Lead</t>
  </si>
  <si>
    <t xml:space="preserve">M7</t>
  </si>
  <si>
    <t xml:space="preserve">Store Acceptance (TestFlight and Google Play Internal Testing)</t>
  </si>
  <si>
    <t xml:space="preserve">7.1</t>
  </si>
  <si>
    <t xml:space="preserve">Submit release candidate built by the pipeline to both stores</t>
  </si>
  <si>
    <t xml:space="preserve">4.5, 3.4, 5.4</t>
  </si>
  <si>
    <t xml:space="preserve">7.2</t>
  </si>
  <si>
    <t xml:space="preserve">Respond to store review feedback</t>
  </si>
  <si>
    <t xml:space="preserve">7.3</t>
  </si>
  <si>
    <t xml:space="preserve">Confirm acceptance in both testing tracks and invite testers</t>
  </si>
  <si>
    <t xml:space="preserve">Team Lead, Member A</t>
  </si>
  <si>
    <t xml:space="preserve">8.4</t>
  </si>
  <si>
    <t xml:space="preserve">M8</t>
  </si>
  <si>
    <t xml:space="preserve">Project Management, Quality Assurance, and Closeout</t>
  </si>
  <si>
    <t xml:space="preserve">8.1</t>
  </si>
  <si>
    <t xml:space="preserve">Gantt chart updates and performance measurement (recurring); Claude Pro for 4 users, Term One months</t>
  </si>
  <si>
    <t xml:space="preserve">Team Lead; Microsoft 365 (GCU); Claude Pro for each member</t>
  </si>
  <si>
    <t xml:space="preserve">Quality review of deliverables against acceptance criteria (runs alongside store review)</t>
  </si>
  <si>
    <t xml:space="preserve">Members A-C</t>
  </si>
  <si>
    <t xml:space="preserve">6.4, 5.5, 3.4, 4.5</t>
  </si>
  <si>
    <t xml:space="preserve">8.3, 8.4</t>
  </si>
  <si>
    <t xml:space="preserve">8.3</t>
  </si>
  <si>
    <t xml:space="preserve">Prepare handoff documentation for Term Two</t>
  </si>
  <si>
    <t xml:space="preserve">8.5</t>
  </si>
  <si>
    <t xml:space="preserve">Prepare final presentation and physical-device demo</t>
  </si>
  <si>
    <t xml:space="preserve">Members A-C; physical devices</t>
  </si>
  <si>
    <t xml:space="preserve">8.2, 7.3</t>
  </si>
  <si>
    <t xml:space="preserve">Deliver final presentation and live demonstration</t>
  </si>
  <si>
    <t xml:space="preserve">M9</t>
  </si>
  <si>
    <t xml:space="preserve">Class Assignments (CLC and Course Deliverables)</t>
  </si>
  <si>
    <t xml:space="preserve">9.1</t>
  </si>
  <si>
    <t xml:space="preserve">Weekly Project Status Update (10/16)</t>
  </si>
  <si>
    <t xml:space="preserve">Team Lead, Members A-C; Microsoft 365 (Word, Excel, Teams)</t>
  </si>
  <si>
    <t xml:space="preserve">9.2</t>
  </si>
  <si>
    <t xml:space="preserve">CLC - Product Functional Requirements</t>
  </si>
  <si>
    <t xml:space="preserve">9.5</t>
  </si>
  <si>
    <t xml:space="preserve">9.3</t>
  </si>
  <si>
    <t xml:space="preserve">CLC - Project Timeline and Work Breakdown Structure</t>
  </si>
  <si>
    <t xml:space="preserve">9.4</t>
  </si>
  <si>
    <t xml:space="preserve">Weekly Project Status Update (10/23)</t>
  </si>
  <si>
    <t xml:space="preserve">CLC - Design Review Presentation 1</t>
  </si>
  <si>
    <t xml:space="preserve">9.2, 9.3</t>
  </si>
  <si>
    <t xml:space="preserve">9.8</t>
  </si>
  <si>
    <t xml:space="preserve">9.6</t>
  </si>
  <si>
    <t xml:space="preserve">Peer Evaluation 1</t>
  </si>
  <si>
    <t xml:space="preserve">9.7</t>
  </si>
  <si>
    <t xml:space="preserve">Weekly Project Status Update (10/30)</t>
  </si>
  <si>
    <t xml:space="preserve">CLC - Project Portfolio</t>
  </si>
  <si>
    <t xml:space="preserve">9.16, 9.22</t>
  </si>
  <si>
    <t xml:space="preserve">9.9</t>
  </si>
  <si>
    <t xml:space="preserve">Weekly Project Status Update (11/06)</t>
  </si>
  <si>
    <t xml:space="preserve">9.10</t>
  </si>
  <si>
    <t xml:space="preserve">October Expense Report</t>
  </si>
  <si>
    <t xml:space="preserve">9.11</t>
  </si>
  <si>
    <t xml:space="preserve">Weekly Project Status Update (11/13)</t>
  </si>
  <si>
    <t xml:space="preserve">9.12</t>
  </si>
  <si>
    <t xml:space="preserve">Weekly Project Status Update (11/20)</t>
  </si>
  <si>
    <t xml:space="preserve">9.13</t>
  </si>
  <si>
    <t xml:space="preserve">CLC - Updated Stakeholder Feedback</t>
  </si>
  <si>
    <t xml:space="preserve">9.16</t>
  </si>
  <si>
    <t xml:space="preserve">9.14</t>
  </si>
  <si>
    <t xml:space="preserve">Weekly Project Status Update (11/27)</t>
  </si>
  <si>
    <t xml:space="preserve">9.15</t>
  </si>
  <si>
    <t xml:space="preserve">Weekly Project Status Update (12/04)</t>
  </si>
  <si>
    <t xml:space="preserve">CLC - Final Design Concept Report</t>
  </si>
  <si>
    <t xml:space="preserve">9.13, 9.8</t>
  </si>
  <si>
    <t xml:space="preserve">9.19, 9.21, 9.23</t>
  </si>
  <si>
    <t xml:space="preserve">9.17</t>
  </si>
  <si>
    <t xml:space="preserve">November Expense Report</t>
  </si>
  <si>
    <t xml:space="preserve">9.18</t>
  </si>
  <si>
    <t xml:space="preserve">Weekly Project Status Update (12/11)</t>
  </si>
  <si>
    <t xml:space="preserve">9.19</t>
  </si>
  <si>
    <t xml:space="preserve">Design Solutions</t>
  </si>
  <si>
    <t xml:space="preserve">9.20</t>
  </si>
  <si>
    <t xml:space="preserve">Weekly Project Status Update (12/18)</t>
  </si>
  <si>
    <t xml:space="preserve">9.21</t>
  </si>
  <si>
    <t xml:space="preserve">CLC - Design Review Presentation 2</t>
  </si>
  <si>
    <t xml:space="preserve">9.22</t>
  </si>
  <si>
    <t xml:space="preserve">CLC - Project Portfolio Revision</t>
  </si>
  <si>
    <t xml:space="preserve">9.23</t>
  </si>
  <si>
    <t xml:space="preserve">Initial Testing Plan</t>
  </si>
  <si>
    <t xml:space="preserve">9.24</t>
  </si>
  <si>
    <t xml:space="preserve">Peer Evaluation 2</t>
  </si>
  <si>
    <t xml:space="preserve">PROJECT TOTAL</t>
  </si>
  <si>
    <t xml:space="preserve">BUDGET CHECK</t>
  </si>
  <si>
    <t xml:space="preserve">Team budget limit (charter, covers both terms)</t>
  </si>
  <si>
    <t xml:space="preserve">Team cash cost allocated to Term One (Claude Pro)</t>
  </si>
  <si>
    <t xml:space="preserve">Team budget remaining after Term One items</t>
  </si>
  <si>
    <t xml:space="preserve">Cash paid by Studio XE in Term One (accounts and developer phones)</t>
  </si>
  <si>
    <t xml:space="preserve">SCHEDULE CHECK</t>
  </si>
  <si>
    <t xml:space="preserve">Term One end date</t>
  </si>
  <si>
    <t xml:space="preserve">Planned project finish</t>
  </si>
  <si>
    <t xml:space="preserve">Calendar days of slack before term end</t>
  </si>
  <si>
    <t xml:space="preserve">Result</t>
  </si>
  <si>
    <t xml:space="preserve">STG-455 Project Timeline: Assumptions and Legend</t>
  </si>
  <si>
    <t xml:space="preserve">Input</t>
  </si>
  <si>
    <t xml:space="preserve">Value</t>
  </si>
  <si>
    <t xml:space="preserve">Notes</t>
  </si>
  <si>
    <t xml:space="preserve">Project start date</t>
  </si>
  <si>
    <t xml:space="preserve">Monday of the week the project began. The onboarding/NDA task is dated to match the status report (completed 10/02/2026).</t>
  </si>
  <si>
    <t xml:space="preserve">Hours worked per person per workday</t>
  </si>
  <si>
    <t xml:space="preserve">Estimate of unpaid student effort, used for the labor hours column. Change to match the team's real availability.</t>
  </si>
  <si>
    <t xml:space="preserve">Claude Pro cost per license-month ($)</t>
  </si>
  <si>
    <t xml:space="preserve">Source: team BOM (rev 1.0, 10/13/2026): $20.00 per user per month plus 9.1% Phoenix sales tax.</t>
  </si>
  <si>
    <t xml:space="preserve">Team size (people)</t>
  </si>
  <si>
    <t xml:space="preserve">Source: team BOM and status report (4 team members).</t>
  </si>
  <si>
    <t xml:space="preserve">Term One months of Claude Pro</t>
  </si>
  <si>
    <t xml:space="preserve">Assumption: Term One covers Oct-Dec 2026, 3 of the 7 months in the BOM (Oct 2026 - Apr 2027). The other 4 months fall in Term Two.</t>
  </si>
  <si>
    <t xml:space="preserve">Team budget limit ($)</t>
  </si>
  <si>
    <t xml:space="preserve">Source: team BOM (charter limit). Covers both terms.</t>
  </si>
  <si>
    <t xml:space="preserve">Provided by the team. All Term One tasks must finish before this date (12/20/2026 is a Sunday, so the last workday is Friday 12/18).</t>
  </si>
  <si>
    <t xml:space="preserve">Non-working days (excluded from schedule)</t>
  </si>
  <si>
    <t xml:space="preserve">Thanksgiving</t>
  </si>
  <si>
    <t xml:space="preserve">Only days before the 12/20/2026 term end are listed. Edit to match your course calendar; the schedule recalculates.</t>
  </si>
  <si>
    <t xml:space="preserve">Day after Thanksgiving</t>
  </si>
  <si>
    <t xml:space="preserve">ASSUMPTIONS</t>
  </si>
  <si>
    <t xml:space="preserve">Durations are estimates in working days (Mon-Fri, excluding the non-working days above). Start and finish dates are formulas driven by predecessors, so changing a duration or predecessor moves every later task.</t>
  </si>
  <si>
    <t xml:space="preserve">Class assignments (milestone M9) use the due dates from the course schedule provided by the team. Assignments already submitted before 10/13/2026 (Project Charter, Industry Standards, Stakeholder Feedback, BOM, and the 10/02 and 10/09 status updates) are not listed. Due dates are fixed inputs (11:59 PM); Start = due date minus the effort duration. Weekly participation posts are not listed because they need no project effort. Enter the submission date as the Actual finish to see early, on time, or late.</t>
  </si>
  <si>
    <t xml:space="preserve">Resources use roles (Team Lead, Member A, B, C). Replace them with team member names once tasks are assigned.</t>
  </si>
  <si>
    <t xml:space="preserve">Costs and tools come from the team BOM (STG-455-RS-BOM_StudioXE.xlsx, rev 1.0, 10/13/2026). Direct costs are split into the team budget and costs paid by Studio XE, as in the BOM. Team members are unpaid, so task costs are direct costs only; effort is tracked in the labor hours column.</t>
  </si>
  <si>
    <t xml:space="preserve">Paid by Studio XE: Apple Developer Program $99 and Google Play Console $25 (task 2.1), and two developer phones, $1,250 each (task 6.2). Partner-provided services (EAS, Sentry, GitHub Actions, staging backend) and free tools are $0 to the project.</t>
  </si>
  <si>
    <t xml:space="preserve">Team cost: Claude Pro for 4 users, allocated to the Term One months only (task 8.1). The full 7-month BOM cost is 28 license-months.</t>
  </si>
  <si>
    <t xml:space="preserve">Lead times from the BOM are built into durations: partner repository and staging access 1-5 business days after the NDA, partner account access 1-2 business days, phones 1-3 business days after approval, TestFlight Beta App Review 24-48 hours, and a first Google Play review of up to 7 days.</t>
  </si>
  <si>
    <t xml:space="preserve">Older iOS versions are covered by team members' phones and the iOS Simulator, and older Android versions by flashing the Pixel and using Android emulators (per the BOM).</t>
  </si>
  <si>
    <t xml:space="preserve">Scope follows the project description for Term One only, which ends 12/20/2026. Term Two (offline cache, optimistic writes, shared components) is out of this timeline. The final demo in the BOM is 04/23/2027.</t>
  </si>
  <si>
    <t xml:space="preserve">Successors are derived from the predecessor column. If you change a predecessor, update the successor column to match.</t>
  </si>
  <si>
    <t xml:space="preserve">LEGEND</t>
  </si>
  <si>
    <t xml:space="preserve">Blue text on yellow = input you should edit. Black text = formula or fixed label.</t>
  </si>
  <si>
    <t xml:space="preserve">Gantt bar colors: dark blue = milestone summary; light blue = planned task; green = completed early or on time; red = completed late.</t>
  </si>
  <si>
    <t xml:space="preserve">To record progress, enter the actual finish date in the Actual finish column of the WBS and Gantt sheet. The Status column then shows Complete - early, on time, or late.</t>
  </si>
</sst>
</file>

<file path=xl/styles.xml><?xml version="1.0" encoding="utf-8"?>
<styleSheet xmlns="http://schemas.openxmlformats.org/spreadsheetml/2006/main">
  <numFmts count="9">
    <numFmt numFmtId="164" formatCode="General"/>
    <numFmt numFmtId="165" formatCode="m/d"/>
    <numFmt numFmtId="166" formatCode="mm/dd/yyyy"/>
    <numFmt numFmtId="167" formatCode="#,##0"/>
    <numFmt numFmtId="168" formatCode="\$#,##0"/>
    <numFmt numFmtId="169" formatCode="\$#,##0.00"/>
    <numFmt numFmtId="170" formatCode="0"/>
    <numFmt numFmtId="171" formatCode="@"/>
    <numFmt numFmtId="172" formatCode="0.0"/>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8"/>
      <name val="Arial"/>
      <family val="0"/>
      <charset val="1"/>
    </font>
    <font>
      <b val="true"/>
      <sz val="10"/>
      <color rgb="FFFFFFFF"/>
      <name val="Arial"/>
      <family val="0"/>
      <charset val="1"/>
    </font>
    <font>
      <b val="true"/>
      <sz val="8"/>
      <color rgb="FFFFFFFF"/>
      <name val="Arial"/>
      <family val="0"/>
      <charset val="1"/>
    </font>
    <font>
      <b val="true"/>
      <sz val="10"/>
      <name val="Arial"/>
      <family val="0"/>
      <charset val="1"/>
    </font>
    <font>
      <sz val="10"/>
      <name val="Arial"/>
      <family val="0"/>
      <charset val="1"/>
    </font>
    <font>
      <sz val="10"/>
      <color rgb="FF0000FF"/>
      <name val="Arial"/>
      <family val="0"/>
      <charset val="1"/>
    </font>
    <font>
      <sz val="10"/>
      <name val="Arial"/>
      <family val="2"/>
    </font>
    <font>
      <b val="true"/>
      <sz val="1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5" fontId="8" fillId="2" borderId="0" xfId="0" applyFont="true" applyBorder="false" applyAlignment="true" applyProtection="false">
      <alignment horizontal="center" vertical="bottom" textRotation="9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6" fontId="9" fillId="3" borderId="1" xfId="0" applyFont="true" applyBorder="true" applyAlignment="true" applyProtection="false">
      <alignment horizontal="center" vertical="top" textRotation="0" wrapText="true" indent="0" shrinkToFit="false"/>
      <protection locked="true" hidden="false"/>
    </xf>
    <xf numFmtId="167" fontId="9" fillId="3" borderId="1" xfId="0" applyFont="true" applyBorder="true" applyAlignment="true" applyProtection="false">
      <alignment horizontal="center" vertical="top" textRotation="0" wrapText="true" indent="0" shrinkToFit="false"/>
      <protection locked="true" hidden="false"/>
    </xf>
    <xf numFmtId="168" fontId="9"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67" fontId="10" fillId="0" borderId="1" xfId="0" applyFont="true" applyBorder="true" applyAlignment="true" applyProtection="false">
      <alignment horizontal="center" vertical="top" textRotation="0" wrapText="true" indent="0" shrinkToFit="false"/>
      <protection locked="true" hidden="false"/>
    </xf>
    <xf numFmtId="168" fontId="11" fillId="4" borderId="1" xfId="0" applyFont="true" applyBorder="true" applyAlignment="true" applyProtection="false">
      <alignment horizontal="center" vertical="top" textRotation="0" wrapText="true" indent="0" shrinkToFit="false"/>
      <protection locked="true" hidden="false"/>
    </xf>
    <xf numFmtId="168" fontId="10" fillId="0" borderId="1" xfId="0" applyFont="true" applyBorder="true" applyAlignment="true" applyProtection="false">
      <alignment horizontal="center" vertical="top" textRotation="0" wrapText="true" indent="0" shrinkToFit="false"/>
      <protection locked="true" hidden="false"/>
    </xf>
    <xf numFmtId="166" fontId="11" fillId="4" borderId="1" xfId="0" applyFont="true" applyBorder="true" applyAlignment="true" applyProtection="false">
      <alignment horizontal="center" vertical="top" textRotation="0" wrapText="true" indent="0" shrinkToFit="false"/>
      <protection locked="true" hidden="false"/>
    </xf>
    <xf numFmtId="169"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6" fontId="9" fillId="0" borderId="1" xfId="0" applyFont="true" applyBorder="true" applyAlignment="true" applyProtection="false">
      <alignment horizontal="center" vertical="top" textRotation="0" wrapText="false" indent="0" shrinkToFit="false"/>
      <protection locked="true" hidden="false"/>
    </xf>
    <xf numFmtId="167" fontId="9" fillId="0" borderId="1" xfId="0" applyFont="true" applyBorder="true" applyAlignment="true" applyProtection="false">
      <alignment horizontal="center" vertical="top" textRotation="0" wrapText="false" indent="0" shrinkToFit="false"/>
      <protection locked="true" hidden="false"/>
    </xf>
    <xf numFmtId="169" fontId="9" fillId="0" borderId="1" xfId="0" applyFont="true" applyBorder="true" applyAlignment="true" applyProtection="false">
      <alignment horizontal="center" vertical="top" textRotation="0" wrapText="false" indent="0" shrinkToFit="false"/>
      <protection locked="true" hidden="false"/>
    </xf>
    <xf numFmtId="168" fontId="9" fillId="0" borderId="1"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9"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left" vertical="bottom" textRotation="0" wrapText="false" indent="0" shrinkToFit="false"/>
      <protection locked="true" hidden="false"/>
    </xf>
    <xf numFmtId="170" fontId="10" fillId="0" borderId="0" xfId="0" applyFont="true" applyBorder="false" applyAlignment="true" applyProtection="false">
      <alignment horizontal="left" vertical="bottom" textRotation="0" wrapText="false" indent="0" shrinkToFit="false"/>
      <protection locked="true" hidden="false"/>
    </xf>
    <xf numFmtId="171" fontId="10"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left" vertical="bottom" textRotation="0" wrapText="false" indent="0" shrinkToFit="false"/>
      <protection locked="true" hidden="false"/>
    </xf>
    <xf numFmtId="172" fontId="11" fillId="4" borderId="0" xfId="0" applyFont="true" applyBorder="false" applyAlignment="true" applyProtection="false">
      <alignment horizontal="left" vertical="bottom" textRotation="0" wrapText="false" indent="0" shrinkToFit="false"/>
      <protection locked="true" hidden="false"/>
    </xf>
    <xf numFmtId="169" fontId="11" fillId="4" borderId="0" xfId="0" applyFont="true" applyBorder="false" applyAlignment="true" applyProtection="false">
      <alignment horizontal="left" vertical="bottom" textRotation="0" wrapText="false" indent="0" shrinkToFit="false"/>
      <protection locked="true" hidden="false"/>
    </xf>
    <xf numFmtId="170" fontId="11" fillId="4" borderId="0" xfId="0" applyFont="true" applyBorder="false" applyAlignment="true" applyProtection="false">
      <alignment horizontal="left" vertical="bottom" textRotation="0" wrapText="false" indent="0" shrinkToFit="false"/>
      <protection locked="true" hidden="false"/>
    </xf>
    <xf numFmtId="168" fontId="11" fillId="4"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1F3864"/>
        </patternFill>
      </fill>
    </dxf>
    <dxf>
      <fill>
        <patternFill>
          <bgColor rgb="FFC00000"/>
        </patternFill>
      </fill>
    </dxf>
    <dxf>
      <fill>
        <patternFill>
          <bgColor rgb="FF70AD47"/>
        </patternFill>
      </fill>
    </dxf>
    <dxf>
      <fill>
        <patternFill>
          <bgColor rgb="FF8EA9DB"/>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38"/>
    <col collapsed="false" customWidth="true" hidden="false" outlineLevel="0" max="4" min="4" style="0" width="8"/>
    <col collapsed="false" customWidth="true" hidden="false" outlineLevel="0" max="5" min="5" style="0" width="10"/>
    <col collapsed="false" customWidth="true" hidden="false" outlineLevel="0" max="7" min="6" style="0" width="13"/>
    <col collapsed="false" customWidth="true" hidden="false" outlineLevel="0" max="9" min="8" style="0" width="12"/>
    <col collapsed="false" customWidth="true" hidden="false" outlineLevel="0" max="10" min="10" style="0" width="9"/>
    <col collapsed="false" customWidth="true" hidden="false" outlineLevel="0" max="11" min="11" style="0" width="11"/>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6"/>
    <col collapsed="false" customWidth="true" hidden="false" outlineLevel="0" max="27" min="16" style="0" width="3.3"/>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P3" s="3" t="s">
        <v>2</v>
      </c>
      <c r="Q3" s="3" t="s">
        <v>3</v>
      </c>
      <c r="R3" s="3" t="s">
        <v>4</v>
      </c>
      <c r="S3" s="3" t="s">
        <v>5</v>
      </c>
      <c r="T3" s="3" t="s">
        <v>6</v>
      </c>
      <c r="U3" s="3" t="s">
        <v>7</v>
      </c>
      <c r="V3" s="3" t="s">
        <v>8</v>
      </c>
      <c r="W3" s="3" t="s">
        <v>9</v>
      </c>
      <c r="X3" s="3" t="s">
        <v>10</v>
      </c>
      <c r="Y3" s="3" t="s">
        <v>11</v>
      </c>
      <c r="Z3" s="3" t="s">
        <v>12</v>
      </c>
      <c r="AA3" s="3" t="s">
        <v>13</v>
      </c>
    </row>
    <row r="4" customFormat="false" ht="60" hidden="false" customHeight="true" outlineLevel="0" collapsed="false">
      <c r="A4" s="4" t="s">
        <v>14</v>
      </c>
      <c r="B4" s="4" t="s">
        <v>15</v>
      </c>
      <c r="C4" s="4" t="s">
        <v>16</v>
      </c>
      <c r="D4" s="4" t="s">
        <v>17</v>
      </c>
      <c r="E4" s="4" t="s">
        <v>18</v>
      </c>
      <c r="F4" s="4" t="s">
        <v>19</v>
      </c>
      <c r="G4" s="4" t="s">
        <v>20</v>
      </c>
      <c r="H4" s="4" t="s">
        <v>21</v>
      </c>
      <c r="I4" s="4" t="s">
        <v>22</v>
      </c>
      <c r="J4" s="4" t="s">
        <v>23</v>
      </c>
      <c r="K4" s="4" t="s">
        <v>24</v>
      </c>
      <c r="L4" s="4" t="s">
        <v>25</v>
      </c>
      <c r="M4" s="4" t="s">
        <v>26</v>
      </c>
      <c r="N4" s="4" t="s">
        <v>27</v>
      </c>
      <c r="O4" s="4" t="s">
        <v>28</v>
      </c>
      <c r="P4" s="5" t="n">
        <f aca="false">ProjectStart-WEEKDAY(ProjectStart,3)+0</f>
        <v>46293</v>
      </c>
      <c r="Q4" s="5" t="n">
        <f aca="false">ProjectStart-WEEKDAY(ProjectStart,3)+7</f>
        <v>46300</v>
      </c>
      <c r="R4" s="5" t="n">
        <f aca="false">ProjectStart-WEEKDAY(ProjectStart,3)+14</f>
        <v>46307</v>
      </c>
      <c r="S4" s="5" t="n">
        <f aca="false">ProjectStart-WEEKDAY(ProjectStart,3)+21</f>
        <v>46314</v>
      </c>
      <c r="T4" s="5" t="n">
        <f aca="false">ProjectStart-WEEKDAY(ProjectStart,3)+28</f>
        <v>46321</v>
      </c>
      <c r="U4" s="5" t="n">
        <f aca="false">ProjectStart-WEEKDAY(ProjectStart,3)+35</f>
        <v>46328</v>
      </c>
      <c r="V4" s="5" t="n">
        <f aca="false">ProjectStart-WEEKDAY(ProjectStart,3)+42</f>
        <v>46335</v>
      </c>
      <c r="W4" s="5" t="n">
        <f aca="false">ProjectStart-WEEKDAY(ProjectStart,3)+49</f>
        <v>46342</v>
      </c>
      <c r="X4" s="5" t="n">
        <f aca="false">ProjectStart-WEEKDAY(ProjectStart,3)+56</f>
        <v>46349</v>
      </c>
      <c r="Y4" s="5" t="n">
        <f aca="false">ProjectStart-WEEKDAY(ProjectStart,3)+63</f>
        <v>46356</v>
      </c>
      <c r="Z4" s="5" t="n">
        <f aca="false">ProjectStart-WEEKDAY(ProjectStart,3)+70</f>
        <v>46363</v>
      </c>
      <c r="AA4" s="5" t="n">
        <f aca="false">ProjectStart-WEEKDAY(ProjectStart,3)+77</f>
        <v>46370</v>
      </c>
    </row>
    <row r="5" customFormat="false" ht="15" hidden="false" customHeight="false" outlineLevel="0" collapsed="false">
      <c r="A5" s="6" t="s">
        <v>29</v>
      </c>
      <c r="B5" s="6" t="s">
        <v>30</v>
      </c>
      <c r="C5" s="6"/>
      <c r="D5" s="7"/>
      <c r="E5" s="7" t="n">
        <f aca="false">NETWORKDAYS(H5,I5,Holidays)</f>
        <v>24</v>
      </c>
      <c r="F5" s="7"/>
      <c r="G5" s="7"/>
      <c r="H5" s="8" t="n">
        <f aca="false">MIN(H6:H11)</f>
        <v>46293</v>
      </c>
      <c r="I5" s="8" t="n">
        <f aca="false">MAX(I6:I11)</f>
        <v>46324</v>
      </c>
      <c r="J5" s="9" t="n">
        <f aca="false">SUM(J6:J11)</f>
        <v>282</v>
      </c>
      <c r="K5" s="10" t="n">
        <f aca="false">SUM(K6:K11)</f>
        <v>0</v>
      </c>
      <c r="L5" s="10" t="n">
        <f aca="false">SUM(L6:L11)</f>
        <v>0</v>
      </c>
      <c r="M5" s="10" t="n">
        <f aca="false">SUM(M6:M11)</f>
        <v>0</v>
      </c>
      <c r="N5" s="8" t="str">
        <f aca="false">IF(COUNT(N6:N11)=ROWS(N6:N11),MAX(N6:N11),"")</f>
        <v/>
      </c>
      <c r="O5" s="7" t="str">
        <f aca="true">IF(N5="",IF(COUNT(N6:N11)&gt;0,"In progress",IF(TODAY()&gt;=H5,"In progress","Not started")),IF(N5&lt;I5,"Complete - early",IF(N5=I5,"Complete - on time","Complete - late")))</f>
        <v>In progress</v>
      </c>
      <c r="P5" s="7"/>
      <c r="Q5" s="7"/>
      <c r="R5" s="7"/>
      <c r="S5" s="7"/>
      <c r="T5" s="7"/>
      <c r="U5" s="7"/>
      <c r="V5" s="7"/>
      <c r="W5" s="7"/>
      <c r="X5" s="7"/>
      <c r="Y5" s="7"/>
      <c r="Z5" s="7"/>
      <c r="AA5" s="7"/>
    </row>
    <row r="6" customFormat="false" ht="15" hidden="false" customHeight="false" outlineLevel="0" collapsed="false">
      <c r="A6" s="11" t="s">
        <v>31</v>
      </c>
      <c r="B6" s="11" t="s">
        <v>32</v>
      </c>
      <c r="C6" s="11" t="s">
        <v>33</v>
      </c>
      <c r="D6" s="12" t="n">
        <v>4</v>
      </c>
      <c r="E6" s="12" t="n">
        <v>5</v>
      </c>
      <c r="F6" s="13" t="s">
        <v>34</v>
      </c>
      <c r="G6" s="13" t="s">
        <v>35</v>
      </c>
      <c r="H6" s="14" t="n">
        <f aca="false">WORKDAY(ProjectStart-1,1,Holidays)</f>
        <v>46293</v>
      </c>
      <c r="I6" s="14" t="n">
        <f aca="false">WORKDAY(H6,E6-1,Holidays)</f>
        <v>46297</v>
      </c>
      <c r="J6" s="15" t="n">
        <f aca="false">D6*E6*HrsPerDay</f>
        <v>60</v>
      </c>
      <c r="K6" s="16" t="n">
        <v>0</v>
      </c>
      <c r="L6" s="16" t="n">
        <v>0</v>
      </c>
      <c r="M6" s="17" t="n">
        <f aca="false">K6+L6</f>
        <v>0</v>
      </c>
      <c r="N6" s="18" t="n">
        <v>46297</v>
      </c>
      <c r="O6" s="13" t="str">
        <f aca="true">IF(N6="",IF(TODAY()&gt;I6,"Overdue",IF(TODAY()&gt;=H6,"In progress","Not started")),IF(N6&lt;I6,"Complete - early",IF(N6=I6,"Complete - on time","Complete - late")))</f>
        <v>Complete - on time</v>
      </c>
      <c r="P6" s="13"/>
      <c r="Q6" s="13"/>
      <c r="R6" s="13"/>
      <c r="S6" s="13"/>
      <c r="T6" s="13"/>
      <c r="U6" s="13"/>
      <c r="V6" s="13"/>
      <c r="W6" s="13"/>
      <c r="X6" s="13"/>
      <c r="Y6" s="13"/>
      <c r="Z6" s="13"/>
      <c r="AA6" s="13"/>
    </row>
    <row r="7" customFormat="false" ht="23.85" hidden="false" customHeight="false" outlineLevel="0" collapsed="false">
      <c r="A7" s="11" t="s">
        <v>35</v>
      </c>
      <c r="B7" s="11" t="s">
        <v>36</v>
      </c>
      <c r="C7" s="11" t="s">
        <v>37</v>
      </c>
      <c r="D7" s="12" t="n">
        <v>2</v>
      </c>
      <c r="E7" s="12" t="n">
        <v>8</v>
      </c>
      <c r="F7" s="13" t="s">
        <v>31</v>
      </c>
      <c r="G7" s="13" t="s">
        <v>38</v>
      </c>
      <c r="H7" s="14" t="n">
        <f aca="false">WORKDAY(MAX(I6),1,Holidays)</f>
        <v>46300</v>
      </c>
      <c r="I7" s="14" t="n">
        <f aca="false">WORKDAY(H7,E7-1,Holidays)</f>
        <v>46309</v>
      </c>
      <c r="J7" s="15" t="n">
        <f aca="false">D7*E7*HrsPerDay</f>
        <v>48</v>
      </c>
      <c r="K7" s="16" t="n">
        <v>0</v>
      </c>
      <c r="L7" s="16" t="n">
        <v>0</v>
      </c>
      <c r="M7" s="17" t="n">
        <f aca="false">K7+L7</f>
        <v>0</v>
      </c>
      <c r="N7" s="18"/>
      <c r="O7" s="13" t="str">
        <f aca="true">IF(N7="",IF(TODAY()&gt;I7,"Overdue",IF(TODAY()&gt;=H7,"In progress","Not started")),IF(N7&lt;I7,"Complete - early",IF(N7=I7,"Complete - on time","Complete - late")))</f>
        <v>In progress</v>
      </c>
      <c r="P7" s="13"/>
      <c r="Q7" s="13"/>
      <c r="R7" s="13"/>
      <c r="S7" s="13"/>
      <c r="T7" s="13"/>
      <c r="U7" s="13"/>
      <c r="V7" s="13"/>
      <c r="W7" s="13"/>
      <c r="X7" s="13"/>
      <c r="Y7" s="13"/>
      <c r="Z7" s="13"/>
      <c r="AA7" s="13"/>
    </row>
    <row r="8" customFormat="false" ht="15" hidden="false" customHeight="false" outlineLevel="0" collapsed="false">
      <c r="A8" s="11" t="s">
        <v>39</v>
      </c>
      <c r="B8" s="11" t="s">
        <v>40</v>
      </c>
      <c r="C8" s="11" t="s">
        <v>41</v>
      </c>
      <c r="D8" s="12" t="n">
        <v>3</v>
      </c>
      <c r="E8" s="12" t="n">
        <v>4</v>
      </c>
      <c r="F8" s="13" t="s">
        <v>35</v>
      </c>
      <c r="G8" s="13" t="s">
        <v>42</v>
      </c>
      <c r="H8" s="14" t="n">
        <f aca="false">WORKDAY(MAX(I7),1,Holidays)</f>
        <v>46310</v>
      </c>
      <c r="I8" s="14" t="n">
        <f aca="false">WORKDAY(H8,E8-1,Holidays)</f>
        <v>46315</v>
      </c>
      <c r="J8" s="15" t="n">
        <f aca="false">D8*E8*HrsPerDay</f>
        <v>36</v>
      </c>
      <c r="K8" s="16" t="n">
        <v>0</v>
      </c>
      <c r="L8" s="16" t="n">
        <v>0</v>
      </c>
      <c r="M8" s="17" t="n">
        <f aca="false">K8+L8</f>
        <v>0</v>
      </c>
      <c r="N8" s="18"/>
      <c r="O8" s="13" t="str">
        <f aca="true">IF(N8="",IF(TODAY()&gt;I8,"Overdue",IF(TODAY()&gt;=H8,"In progress","Not started")),IF(N8&lt;I8,"Complete - early",IF(N8=I8,"Complete - on time","Complete - late")))</f>
        <v>Not started</v>
      </c>
      <c r="P8" s="13"/>
      <c r="Q8" s="13"/>
      <c r="R8" s="13"/>
      <c r="S8" s="13"/>
      <c r="T8" s="13"/>
      <c r="U8" s="13"/>
      <c r="V8" s="13"/>
      <c r="W8" s="13"/>
      <c r="X8" s="13"/>
      <c r="Y8" s="13"/>
      <c r="Z8" s="13"/>
      <c r="AA8" s="13"/>
    </row>
    <row r="9" customFormat="false" ht="15" hidden="false" customHeight="false" outlineLevel="0" collapsed="false">
      <c r="A9" s="11" t="s">
        <v>42</v>
      </c>
      <c r="B9" s="11" t="s">
        <v>43</v>
      </c>
      <c r="C9" s="11" t="s">
        <v>44</v>
      </c>
      <c r="D9" s="12" t="n">
        <v>4</v>
      </c>
      <c r="E9" s="12" t="n">
        <v>4</v>
      </c>
      <c r="F9" s="13" t="s">
        <v>39</v>
      </c>
      <c r="G9" s="13" t="s">
        <v>45</v>
      </c>
      <c r="H9" s="14" t="n">
        <f aca="false">WORKDAY(MAX(I8),1,Holidays)</f>
        <v>46316</v>
      </c>
      <c r="I9" s="14" t="n">
        <f aca="false">WORKDAY(H9,E9-1,Holidays)</f>
        <v>46321</v>
      </c>
      <c r="J9" s="15" t="n">
        <f aca="false">D9*E9*HrsPerDay</f>
        <v>48</v>
      </c>
      <c r="K9" s="16" t="n">
        <v>0</v>
      </c>
      <c r="L9" s="16" t="n">
        <v>0</v>
      </c>
      <c r="M9" s="17" t="n">
        <f aca="false">K9+L9</f>
        <v>0</v>
      </c>
      <c r="N9" s="18"/>
      <c r="O9" s="13" t="str">
        <f aca="true">IF(N9="",IF(TODAY()&gt;I9,"Overdue",IF(TODAY()&gt;=H9,"In progress","Not started")),IF(N9&lt;I9,"Complete - early",IF(N9=I9,"Complete - on time","Complete - late")))</f>
        <v>Not started</v>
      </c>
      <c r="P9" s="13"/>
      <c r="Q9" s="13"/>
      <c r="R9" s="13"/>
      <c r="S9" s="13"/>
      <c r="T9" s="13"/>
      <c r="U9" s="13"/>
      <c r="V9" s="13"/>
      <c r="W9" s="13"/>
      <c r="X9" s="13"/>
      <c r="Y9" s="13"/>
      <c r="Z9" s="13"/>
      <c r="AA9" s="13"/>
    </row>
    <row r="10" customFormat="false" ht="23.85" hidden="false" customHeight="false" outlineLevel="0" collapsed="false">
      <c r="A10" s="11" t="s">
        <v>46</v>
      </c>
      <c r="B10" s="11" t="s">
        <v>47</v>
      </c>
      <c r="C10" s="11" t="s">
        <v>48</v>
      </c>
      <c r="D10" s="12" t="n">
        <v>3</v>
      </c>
      <c r="E10" s="12" t="n">
        <v>6</v>
      </c>
      <c r="F10" s="13" t="s">
        <v>35</v>
      </c>
      <c r="G10" s="13" t="s">
        <v>49</v>
      </c>
      <c r="H10" s="14" t="n">
        <f aca="false">WORKDAY(MAX(I7),1,Holidays)</f>
        <v>46310</v>
      </c>
      <c r="I10" s="14" t="n">
        <f aca="false">WORKDAY(H10,E10-1,Holidays)</f>
        <v>46317</v>
      </c>
      <c r="J10" s="15" t="n">
        <f aca="false">D10*E10*HrsPerDay</f>
        <v>54</v>
      </c>
      <c r="K10" s="16" t="n">
        <v>0</v>
      </c>
      <c r="L10" s="16" t="n">
        <v>0</v>
      </c>
      <c r="M10" s="17" t="n">
        <f aca="false">K10+L10</f>
        <v>0</v>
      </c>
      <c r="N10" s="18"/>
      <c r="O10" s="13" t="str">
        <f aca="true">IF(N10="",IF(TODAY()&gt;I10,"Overdue",IF(TODAY()&gt;=H10,"In progress","Not started")),IF(N10&lt;I10,"Complete - early",IF(N10=I10,"Complete - on time","Complete - late")))</f>
        <v>Not started</v>
      </c>
      <c r="P10" s="13"/>
      <c r="Q10" s="13"/>
      <c r="R10" s="13"/>
      <c r="S10" s="13"/>
      <c r="T10" s="13"/>
      <c r="U10" s="13"/>
      <c r="V10" s="13"/>
      <c r="W10" s="13"/>
      <c r="X10" s="13"/>
      <c r="Y10" s="13"/>
      <c r="Z10" s="13"/>
      <c r="AA10" s="13"/>
    </row>
    <row r="11" customFormat="false" ht="15" hidden="false" customHeight="false" outlineLevel="0" collapsed="false">
      <c r="A11" s="11" t="s">
        <v>50</v>
      </c>
      <c r="B11" s="11" t="s">
        <v>51</v>
      </c>
      <c r="C11" s="11" t="s">
        <v>44</v>
      </c>
      <c r="D11" s="12" t="n">
        <v>4</v>
      </c>
      <c r="E11" s="12" t="n">
        <v>3</v>
      </c>
      <c r="F11" s="13" t="s">
        <v>52</v>
      </c>
      <c r="G11" s="13" t="s">
        <v>53</v>
      </c>
      <c r="H11" s="14" t="n">
        <f aca="false">WORKDAY(MAX(I9,I10),1,Holidays)</f>
        <v>46322</v>
      </c>
      <c r="I11" s="14" t="n">
        <f aca="false">WORKDAY(H11,E11-1,Holidays)</f>
        <v>46324</v>
      </c>
      <c r="J11" s="15" t="n">
        <f aca="false">D11*E11*HrsPerDay</f>
        <v>36</v>
      </c>
      <c r="K11" s="16" t="n">
        <v>0</v>
      </c>
      <c r="L11" s="16" t="n">
        <v>0</v>
      </c>
      <c r="M11" s="17" t="n">
        <f aca="false">K11+L11</f>
        <v>0</v>
      </c>
      <c r="N11" s="18"/>
      <c r="O11" s="13" t="str">
        <f aca="true">IF(N11="",IF(TODAY()&gt;I11,"Overdue",IF(TODAY()&gt;=H11,"In progress","Not started")),IF(N11&lt;I11,"Complete - early",IF(N11=I11,"Complete - on time","Complete - late")))</f>
        <v>Not started</v>
      </c>
      <c r="P11" s="13"/>
      <c r="Q11" s="13"/>
      <c r="R11" s="13"/>
      <c r="S11" s="13"/>
      <c r="T11" s="13"/>
      <c r="U11" s="13"/>
      <c r="V11" s="13"/>
      <c r="W11" s="13"/>
      <c r="X11" s="13"/>
      <c r="Y11" s="13"/>
      <c r="Z11" s="13"/>
      <c r="AA11" s="13"/>
    </row>
    <row r="12" customFormat="false" ht="15" hidden="false" customHeight="false" outlineLevel="0" collapsed="false">
      <c r="A12" s="6" t="s">
        <v>54</v>
      </c>
      <c r="B12" s="6" t="s">
        <v>55</v>
      </c>
      <c r="C12" s="6"/>
      <c r="D12" s="7"/>
      <c r="E12" s="7" t="n">
        <f aca="false">NETWORKDAYS(H12,I12,Holidays)</f>
        <v>18</v>
      </c>
      <c r="F12" s="7"/>
      <c r="G12" s="7"/>
      <c r="H12" s="8" t="n">
        <f aca="false">MIN(H13:H16)</f>
        <v>46310</v>
      </c>
      <c r="I12" s="8" t="n">
        <f aca="false">MAX(I13:I16)</f>
        <v>46335</v>
      </c>
      <c r="J12" s="9" t="n">
        <f aca="false">SUM(J13:J16)</f>
        <v>90</v>
      </c>
      <c r="K12" s="10" t="n">
        <f aca="false">SUM(K13:K16)</f>
        <v>0</v>
      </c>
      <c r="L12" s="10" t="n">
        <f aca="false">SUM(L13:L16)</f>
        <v>124</v>
      </c>
      <c r="M12" s="10" t="n">
        <f aca="false">SUM(M13:M16)</f>
        <v>124</v>
      </c>
      <c r="N12" s="8" t="str">
        <f aca="false">IF(COUNT(N13:N16)=ROWS(N13:N16),MAX(N13:N16),"")</f>
        <v/>
      </c>
      <c r="O12" s="7" t="str">
        <f aca="true">IF(N12="",IF(COUNT(N13:N16)&gt;0,"In progress",IF(TODAY()&gt;=H12,"In progress","Not started")),IF(N12&lt;I12,"Complete - early",IF(N12=I12,"Complete - on time","Complete - late")))</f>
        <v>Not started</v>
      </c>
      <c r="P12" s="7"/>
      <c r="Q12" s="7"/>
      <c r="R12" s="7"/>
      <c r="S12" s="7"/>
      <c r="T12" s="7"/>
      <c r="U12" s="7"/>
      <c r="V12" s="7"/>
      <c r="W12" s="7"/>
      <c r="X12" s="7"/>
      <c r="Y12" s="7"/>
      <c r="Z12" s="7"/>
      <c r="AA12" s="7"/>
    </row>
    <row r="13" customFormat="false" ht="23.85" hidden="false" customHeight="false" outlineLevel="0" collapsed="false">
      <c r="A13" s="11" t="s">
        <v>56</v>
      </c>
      <c r="B13" s="11" t="s">
        <v>57</v>
      </c>
      <c r="C13" s="11" t="s">
        <v>58</v>
      </c>
      <c r="D13" s="12" t="n">
        <v>2</v>
      </c>
      <c r="E13" s="12" t="n">
        <v>3</v>
      </c>
      <c r="F13" s="13" t="s">
        <v>35</v>
      </c>
      <c r="G13" s="13" t="s">
        <v>59</v>
      </c>
      <c r="H13" s="14" t="n">
        <f aca="false">WORKDAY(MAX(I7),1,Holidays)</f>
        <v>46310</v>
      </c>
      <c r="I13" s="14" t="n">
        <f aca="false">WORKDAY(H13,E13-1,Holidays)</f>
        <v>46314</v>
      </c>
      <c r="J13" s="15" t="n">
        <f aca="false">D13*E13*HrsPerDay</f>
        <v>18</v>
      </c>
      <c r="K13" s="16" t="n">
        <v>0</v>
      </c>
      <c r="L13" s="16" t="n">
        <v>124</v>
      </c>
      <c r="M13" s="17" t="n">
        <f aca="false">K13+L13</f>
        <v>124</v>
      </c>
      <c r="N13" s="18"/>
      <c r="O13" s="13" t="str">
        <f aca="true">IF(N13="",IF(TODAY()&gt;I13,"Overdue",IF(TODAY()&gt;=H13,"In progress","Not started")),IF(N13&lt;I13,"Complete - early",IF(N13=I13,"Complete - on time","Complete - late")))</f>
        <v>Not started</v>
      </c>
      <c r="P13" s="13"/>
      <c r="Q13" s="13"/>
      <c r="R13" s="13"/>
      <c r="S13" s="13"/>
      <c r="T13" s="13"/>
      <c r="U13" s="13"/>
      <c r="V13" s="13"/>
      <c r="W13" s="13"/>
      <c r="X13" s="13"/>
      <c r="Y13" s="13"/>
      <c r="Z13" s="13"/>
      <c r="AA13" s="13"/>
    </row>
    <row r="14" customFormat="false" ht="23.85" hidden="false" customHeight="false" outlineLevel="0" collapsed="false">
      <c r="A14" s="11" t="s">
        <v>59</v>
      </c>
      <c r="B14" s="11" t="s">
        <v>60</v>
      </c>
      <c r="C14" s="11" t="s">
        <v>61</v>
      </c>
      <c r="D14" s="12" t="n">
        <v>2</v>
      </c>
      <c r="E14" s="12" t="n">
        <v>5</v>
      </c>
      <c r="F14" s="13" t="s">
        <v>62</v>
      </c>
      <c r="G14" s="13" t="s">
        <v>63</v>
      </c>
      <c r="H14" s="14" t="n">
        <f aca="false">WORKDAY(MAX(I13,I10),1,Holidays)</f>
        <v>46318</v>
      </c>
      <c r="I14" s="14" t="n">
        <f aca="false">WORKDAY(H14,E14-1,Holidays)</f>
        <v>46324</v>
      </c>
      <c r="J14" s="15" t="n">
        <f aca="false">D14*E14*HrsPerDay</f>
        <v>30</v>
      </c>
      <c r="K14" s="16" t="n">
        <v>0</v>
      </c>
      <c r="L14" s="16" t="n">
        <v>0</v>
      </c>
      <c r="M14" s="17" t="n">
        <f aca="false">K14+L14</f>
        <v>0</v>
      </c>
      <c r="N14" s="18"/>
      <c r="O14" s="13" t="str">
        <f aca="true">IF(N14="",IF(TODAY()&gt;I14,"Overdue",IF(TODAY()&gt;=H14,"In progress","Not started")),IF(N14&lt;I14,"Complete - early",IF(N14=I14,"Complete - on time","Complete - late")))</f>
        <v>Not started</v>
      </c>
      <c r="P14" s="13"/>
      <c r="Q14" s="13"/>
      <c r="R14" s="13"/>
      <c r="S14" s="13"/>
      <c r="T14" s="13"/>
      <c r="U14" s="13"/>
      <c r="V14" s="13"/>
      <c r="W14" s="13"/>
      <c r="X14" s="13"/>
      <c r="Y14" s="13"/>
      <c r="Z14" s="13"/>
      <c r="AA14" s="13"/>
    </row>
    <row r="15" customFormat="false" ht="23.85" hidden="false" customHeight="false" outlineLevel="0" collapsed="false">
      <c r="A15" s="11" t="s">
        <v>64</v>
      </c>
      <c r="B15" s="11" t="s">
        <v>65</v>
      </c>
      <c r="C15" s="11" t="s">
        <v>66</v>
      </c>
      <c r="D15" s="12" t="n">
        <v>2</v>
      </c>
      <c r="E15" s="12" t="n">
        <v>2</v>
      </c>
      <c r="F15" s="13" t="s">
        <v>59</v>
      </c>
      <c r="G15" s="13" t="s">
        <v>67</v>
      </c>
      <c r="H15" s="14" t="n">
        <f aca="false">WORKDAY(MAX(I14),1,Holidays)</f>
        <v>46325</v>
      </c>
      <c r="I15" s="14" t="n">
        <f aca="false">WORKDAY(H15,E15-1,Holidays)</f>
        <v>46328</v>
      </c>
      <c r="J15" s="15" t="n">
        <f aca="false">D15*E15*HrsPerDay</f>
        <v>12</v>
      </c>
      <c r="K15" s="16" t="n">
        <v>0</v>
      </c>
      <c r="L15" s="16" t="n">
        <v>0</v>
      </c>
      <c r="M15" s="17" t="n">
        <f aca="false">K15+L15</f>
        <v>0</v>
      </c>
      <c r="N15" s="18"/>
      <c r="O15" s="13" t="str">
        <f aca="true">IF(N15="",IF(TODAY()&gt;I15,"Overdue",IF(TODAY()&gt;=H15,"In progress","Not started")),IF(N15&lt;I15,"Complete - early",IF(N15=I15,"Complete - on time","Complete - late")))</f>
        <v>Not started</v>
      </c>
      <c r="P15" s="13"/>
      <c r="Q15" s="13"/>
      <c r="R15" s="13"/>
      <c r="S15" s="13"/>
      <c r="T15" s="13"/>
      <c r="U15" s="13"/>
      <c r="V15" s="13"/>
      <c r="W15" s="13"/>
      <c r="X15" s="13"/>
      <c r="Y15" s="13"/>
      <c r="Z15" s="13"/>
      <c r="AA15" s="13"/>
    </row>
    <row r="16" customFormat="false" ht="23.85" hidden="false" customHeight="false" outlineLevel="0" collapsed="false">
      <c r="A16" s="11" t="s">
        <v>68</v>
      </c>
      <c r="B16" s="11" t="s">
        <v>69</v>
      </c>
      <c r="C16" s="11" t="s">
        <v>66</v>
      </c>
      <c r="D16" s="12" t="n">
        <v>2</v>
      </c>
      <c r="E16" s="12" t="n">
        <v>5</v>
      </c>
      <c r="F16" s="13" t="s">
        <v>64</v>
      </c>
      <c r="G16" s="13" t="s">
        <v>34</v>
      </c>
      <c r="H16" s="14" t="n">
        <f aca="false">WORKDAY(MAX(I15),1,Holidays)</f>
        <v>46329</v>
      </c>
      <c r="I16" s="14" t="n">
        <f aca="false">WORKDAY(H16,E16-1,Holidays)</f>
        <v>46335</v>
      </c>
      <c r="J16" s="15" t="n">
        <f aca="false">D16*E16*HrsPerDay</f>
        <v>30</v>
      </c>
      <c r="K16" s="16" t="n">
        <v>0</v>
      </c>
      <c r="L16" s="16" t="n">
        <v>0</v>
      </c>
      <c r="M16" s="17" t="n">
        <f aca="false">K16+L16</f>
        <v>0</v>
      </c>
      <c r="N16" s="18"/>
      <c r="O16" s="13" t="str">
        <f aca="true">IF(N16="",IF(TODAY()&gt;I16,"Overdue",IF(TODAY()&gt;=H16,"In progress","Not started")),IF(N16&lt;I16,"Complete - early",IF(N16=I16,"Complete - on time","Complete - late")))</f>
        <v>Not started</v>
      </c>
      <c r="P16" s="13"/>
      <c r="Q16" s="13"/>
      <c r="R16" s="13"/>
      <c r="S16" s="13"/>
      <c r="T16" s="13"/>
      <c r="U16" s="13"/>
      <c r="V16" s="13"/>
      <c r="W16" s="13"/>
      <c r="X16" s="13"/>
      <c r="Y16" s="13"/>
      <c r="Z16" s="13"/>
      <c r="AA16" s="13"/>
    </row>
    <row r="17" customFormat="false" ht="15" hidden="false" customHeight="false" outlineLevel="0" collapsed="false">
      <c r="A17" s="6" t="s">
        <v>70</v>
      </c>
      <c r="B17" s="6" t="s">
        <v>71</v>
      </c>
      <c r="C17" s="6"/>
      <c r="D17" s="7"/>
      <c r="E17" s="7" t="n">
        <f aca="false">NETWORKDAYS(H17,I17,Holidays)</f>
        <v>12</v>
      </c>
      <c r="F17" s="7"/>
      <c r="G17" s="7"/>
      <c r="H17" s="8" t="n">
        <f aca="false">MIN(H18:H22)</f>
        <v>46325</v>
      </c>
      <c r="I17" s="8" t="n">
        <f aca="false">MAX(I18:I22)</f>
        <v>46342</v>
      </c>
      <c r="J17" s="9" t="n">
        <f aca="false">SUM(J18:J22)</f>
        <v>90</v>
      </c>
      <c r="K17" s="10" t="n">
        <f aca="false">SUM(K18:K22)</f>
        <v>0</v>
      </c>
      <c r="L17" s="10" t="n">
        <f aca="false">SUM(L18:L22)</f>
        <v>0</v>
      </c>
      <c r="M17" s="10" t="n">
        <f aca="false">SUM(M18:M22)</f>
        <v>0</v>
      </c>
      <c r="N17" s="8" t="str">
        <f aca="false">IF(COUNT(N18:N22)=ROWS(N18:N22),MAX(N18:N22),"")</f>
        <v/>
      </c>
      <c r="O17" s="7" t="str">
        <f aca="true">IF(N17="",IF(COUNT(N18:N22)&gt;0,"In progress",IF(TODAY()&gt;=H17,"In progress","Not started")),IF(N17&lt;I17,"Complete - early",IF(N17=I17,"Complete - on time","Complete - late")))</f>
        <v>Not started</v>
      </c>
      <c r="P17" s="7"/>
      <c r="Q17" s="7"/>
      <c r="R17" s="7"/>
      <c r="S17" s="7"/>
      <c r="T17" s="7"/>
      <c r="U17" s="7"/>
      <c r="V17" s="7"/>
      <c r="W17" s="7"/>
      <c r="X17" s="7"/>
      <c r="Y17" s="7"/>
      <c r="Z17" s="7"/>
      <c r="AA17" s="7"/>
    </row>
    <row r="18" customFormat="false" ht="23.85" hidden="false" customHeight="false" outlineLevel="0" collapsed="false">
      <c r="A18" s="11" t="s">
        <v>72</v>
      </c>
      <c r="B18" s="11" t="s">
        <v>73</v>
      </c>
      <c r="C18" s="11" t="s">
        <v>74</v>
      </c>
      <c r="D18" s="12" t="n">
        <v>2</v>
      </c>
      <c r="E18" s="12" t="n">
        <v>5</v>
      </c>
      <c r="F18" s="13" t="s">
        <v>49</v>
      </c>
      <c r="G18" s="13" t="s">
        <v>75</v>
      </c>
      <c r="H18" s="14" t="n">
        <f aca="false">WORKDAY(MAX(I11,I14),1,Holidays)</f>
        <v>46325</v>
      </c>
      <c r="I18" s="14" t="n">
        <f aca="false">WORKDAY(H18,E18-1,Holidays)</f>
        <v>46331</v>
      </c>
      <c r="J18" s="15" t="n">
        <f aca="false">D18*E18*HrsPerDay</f>
        <v>30</v>
      </c>
      <c r="K18" s="16" t="n">
        <v>0</v>
      </c>
      <c r="L18" s="16" t="n">
        <v>0</v>
      </c>
      <c r="M18" s="17" t="n">
        <f aca="false">K18+L18</f>
        <v>0</v>
      </c>
      <c r="N18" s="18"/>
      <c r="O18" s="13" t="str">
        <f aca="true">IF(N18="",IF(TODAY()&gt;I18,"Overdue",IF(TODAY()&gt;=H18,"In progress","Not started")),IF(N18&lt;I18,"Complete - early",IF(N18=I18,"Complete - on time","Complete - late")))</f>
        <v>Not started</v>
      </c>
      <c r="P18" s="13"/>
      <c r="Q18" s="13"/>
      <c r="R18" s="13"/>
      <c r="S18" s="13"/>
      <c r="T18" s="13"/>
      <c r="U18" s="13"/>
      <c r="V18" s="13"/>
      <c r="W18" s="13"/>
      <c r="X18" s="13"/>
      <c r="Y18" s="13"/>
      <c r="Z18" s="13"/>
      <c r="AA18" s="13"/>
    </row>
    <row r="19" customFormat="false" ht="35.05" hidden="false" customHeight="false" outlineLevel="0" collapsed="false">
      <c r="A19" s="11" t="s">
        <v>76</v>
      </c>
      <c r="B19" s="11" t="s">
        <v>77</v>
      </c>
      <c r="C19" s="11" t="s">
        <v>78</v>
      </c>
      <c r="D19" s="12" t="n">
        <v>2</v>
      </c>
      <c r="E19" s="12" t="n">
        <v>4</v>
      </c>
      <c r="F19" s="13" t="s">
        <v>72</v>
      </c>
      <c r="G19" s="13" t="s">
        <v>79</v>
      </c>
      <c r="H19" s="14" t="n">
        <f aca="false">WORKDAY(MAX(I18),1,Holidays)</f>
        <v>46332</v>
      </c>
      <c r="I19" s="14" t="n">
        <f aca="false">WORKDAY(H19,E19-1,Holidays)</f>
        <v>46337</v>
      </c>
      <c r="J19" s="15" t="n">
        <f aca="false">D19*E19*HrsPerDay</f>
        <v>24</v>
      </c>
      <c r="K19" s="16" t="n">
        <v>0</v>
      </c>
      <c r="L19" s="16" t="n">
        <v>0</v>
      </c>
      <c r="M19" s="17" t="n">
        <f aca="false">K19+L19</f>
        <v>0</v>
      </c>
      <c r="N19" s="18"/>
      <c r="O19" s="13" t="str">
        <f aca="true">IF(N19="",IF(TODAY()&gt;I19,"Overdue",IF(TODAY()&gt;=H19,"In progress","Not started")),IF(N19&lt;I19,"Complete - early",IF(N19=I19,"Complete - on time","Complete - late")))</f>
        <v>Not started</v>
      </c>
      <c r="P19" s="13"/>
      <c r="Q19" s="13"/>
      <c r="R19" s="13"/>
      <c r="S19" s="13"/>
      <c r="T19" s="13"/>
      <c r="U19" s="13"/>
      <c r="V19" s="13"/>
      <c r="W19" s="13"/>
      <c r="X19" s="13"/>
      <c r="Y19" s="13"/>
      <c r="Z19" s="13"/>
      <c r="AA19" s="13"/>
    </row>
    <row r="20" customFormat="false" ht="23.85" hidden="false" customHeight="false" outlineLevel="0" collapsed="false">
      <c r="A20" s="11" t="s">
        <v>80</v>
      </c>
      <c r="B20" s="11" t="s">
        <v>81</v>
      </c>
      <c r="C20" s="11" t="s">
        <v>82</v>
      </c>
      <c r="D20" s="12" t="n">
        <v>1</v>
      </c>
      <c r="E20" s="12" t="n">
        <v>2</v>
      </c>
      <c r="F20" s="13" t="s">
        <v>72</v>
      </c>
      <c r="G20" s="13" t="s">
        <v>79</v>
      </c>
      <c r="H20" s="14" t="n">
        <f aca="false">WORKDAY(MAX(I18),1,Holidays)</f>
        <v>46332</v>
      </c>
      <c r="I20" s="14" t="n">
        <f aca="false">WORKDAY(H20,E20-1,Holidays)</f>
        <v>46335</v>
      </c>
      <c r="J20" s="15" t="n">
        <f aca="false">D20*E20*HrsPerDay</f>
        <v>6</v>
      </c>
      <c r="K20" s="16" t="n">
        <v>0</v>
      </c>
      <c r="L20" s="16" t="n">
        <v>0</v>
      </c>
      <c r="M20" s="17" t="n">
        <f aca="false">K20+L20</f>
        <v>0</v>
      </c>
      <c r="N20" s="18"/>
      <c r="O20" s="13" t="str">
        <f aca="true">IF(N20="",IF(TODAY()&gt;I20,"Overdue",IF(TODAY()&gt;=H20,"In progress","Not started")),IF(N20&lt;I20,"Complete - early",IF(N20=I20,"Complete - on time","Complete - late")))</f>
        <v>Not started</v>
      </c>
      <c r="P20" s="13"/>
      <c r="Q20" s="13"/>
      <c r="R20" s="13"/>
      <c r="S20" s="13"/>
      <c r="T20" s="13"/>
      <c r="U20" s="13"/>
      <c r="V20" s="13"/>
      <c r="W20" s="13"/>
      <c r="X20" s="13"/>
      <c r="Y20" s="13"/>
      <c r="Z20" s="13"/>
      <c r="AA20" s="13"/>
    </row>
    <row r="21" customFormat="false" ht="15" hidden="false" customHeight="false" outlineLevel="0" collapsed="false">
      <c r="A21" s="11" t="s">
        <v>83</v>
      </c>
      <c r="B21" s="11" t="s">
        <v>84</v>
      </c>
      <c r="C21" s="11" t="s">
        <v>85</v>
      </c>
      <c r="D21" s="12" t="n">
        <v>2</v>
      </c>
      <c r="E21" s="12" t="n">
        <v>3</v>
      </c>
      <c r="F21" s="13" t="s">
        <v>75</v>
      </c>
      <c r="G21" s="13" t="s">
        <v>86</v>
      </c>
      <c r="H21" s="14" t="n">
        <f aca="false">WORKDAY(MAX(I19,I20),1,Holidays)</f>
        <v>46338</v>
      </c>
      <c r="I21" s="14" t="n">
        <f aca="false">WORKDAY(H21,E21-1,Holidays)</f>
        <v>46342</v>
      </c>
      <c r="J21" s="15" t="n">
        <f aca="false">D21*E21*HrsPerDay</f>
        <v>18</v>
      </c>
      <c r="K21" s="16" t="n">
        <v>0</v>
      </c>
      <c r="L21" s="16" t="n">
        <v>0</v>
      </c>
      <c r="M21" s="17" t="n">
        <f aca="false">K21+L21</f>
        <v>0</v>
      </c>
      <c r="N21" s="18"/>
      <c r="O21" s="13" t="str">
        <f aca="true">IF(N21="",IF(TODAY()&gt;I21,"Overdue",IF(TODAY()&gt;=H21,"In progress","Not started")),IF(N21&lt;I21,"Complete - early",IF(N21=I21,"Complete - on time","Complete - late")))</f>
        <v>Not started</v>
      </c>
      <c r="P21" s="13"/>
      <c r="Q21" s="13"/>
      <c r="R21" s="13"/>
      <c r="S21" s="13"/>
      <c r="T21" s="13"/>
      <c r="U21" s="13"/>
      <c r="V21" s="13"/>
      <c r="W21" s="13"/>
      <c r="X21" s="13"/>
      <c r="Y21" s="13"/>
      <c r="Z21" s="13"/>
      <c r="AA21" s="13"/>
    </row>
    <row r="22" customFormat="false" ht="15" hidden="false" customHeight="false" outlineLevel="0" collapsed="false">
      <c r="A22" s="11" t="s">
        <v>87</v>
      </c>
      <c r="B22" s="11" t="s">
        <v>88</v>
      </c>
      <c r="C22" s="11" t="s">
        <v>89</v>
      </c>
      <c r="D22" s="12" t="n">
        <v>2</v>
      </c>
      <c r="E22" s="12" t="n">
        <v>2</v>
      </c>
      <c r="F22" s="13" t="s">
        <v>75</v>
      </c>
      <c r="G22" s="13" t="s">
        <v>34</v>
      </c>
      <c r="H22" s="14" t="n">
        <f aca="false">WORKDAY(MAX(I19,I20),1,Holidays)</f>
        <v>46338</v>
      </c>
      <c r="I22" s="14" t="n">
        <f aca="false">WORKDAY(H22,E22-1,Holidays)</f>
        <v>46339</v>
      </c>
      <c r="J22" s="15" t="n">
        <f aca="false">D22*E22*HrsPerDay</f>
        <v>12</v>
      </c>
      <c r="K22" s="16" t="n">
        <v>0</v>
      </c>
      <c r="L22" s="16" t="n">
        <v>0</v>
      </c>
      <c r="M22" s="17" t="n">
        <f aca="false">K22+L22</f>
        <v>0</v>
      </c>
      <c r="N22" s="18"/>
      <c r="O22" s="13" t="str">
        <f aca="true">IF(N22="",IF(TODAY()&gt;I22,"Overdue",IF(TODAY()&gt;=H22,"In progress","Not started")),IF(N22&lt;I22,"Complete - early",IF(N22=I22,"Complete - on time","Complete - late")))</f>
        <v>Not started</v>
      </c>
      <c r="P22" s="13"/>
      <c r="Q22" s="13"/>
      <c r="R22" s="13"/>
      <c r="S22" s="13"/>
      <c r="T22" s="13"/>
      <c r="U22" s="13"/>
      <c r="V22" s="13"/>
      <c r="W22" s="13"/>
      <c r="X22" s="13"/>
      <c r="Y22" s="13"/>
      <c r="Z22" s="13"/>
      <c r="AA22" s="13"/>
    </row>
    <row r="23" customFormat="false" ht="15" hidden="false" customHeight="false" outlineLevel="0" collapsed="false">
      <c r="A23" s="6" t="s">
        <v>90</v>
      </c>
      <c r="B23" s="6" t="s">
        <v>91</v>
      </c>
      <c r="C23" s="6"/>
      <c r="D23" s="7"/>
      <c r="E23" s="7" t="n">
        <f aca="false">NETWORKDAYS(H23,I23,Holidays)</f>
        <v>14</v>
      </c>
      <c r="F23" s="7"/>
      <c r="G23" s="7"/>
      <c r="H23" s="8" t="n">
        <f aca="false">MIN(H24:H28)</f>
        <v>46325</v>
      </c>
      <c r="I23" s="8" t="n">
        <f aca="false">MAX(I24:I28)</f>
        <v>46344</v>
      </c>
      <c r="J23" s="9" t="n">
        <f aca="false">SUM(J24:J28)</f>
        <v>90</v>
      </c>
      <c r="K23" s="10" t="n">
        <f aca="false">SUM(K24:K28)</f>
        <v>0</v>
      </c>
      <c r="L23" s="10" t="n">
        <f aca="false">SUM(L24:L28)</f>
        <v>0</v>
      </c>
      <c r="M23" s="10" t="n">
        <f aca="false">SUM(M24:M28)</f>
        <v>0</v>
      </c>
      <c r="N23" s="8" t="str">
        <f aca="false">IF(COUNT(N24:N28)=ROWS(N24:N28),MAX(N24:N28),"")</f>
        <v/>
      </c>
      <c r="O23" s="7" t="str">
        <f aca="true">IF(N23="",IF(COUNT(N24:N28)&gt;0,"In progress",IF(TODAY()&gt;=H23,"In progress","Not started")),IF(N23&lt;I23,"Complete - early",IF(N23=I23,"Complete - on time","Complete - late")))</f>
        <v>Not started</v>
      </c>
      <c r="P23" s="7"/>
      <c r="Q23" s="7"/>
      <c r="R23" s="7"/>
      <c r="S23" s="7"/>
      <c r="T23" s="7"/>
      <c r="U23" s="7"/>
      <c r="V23" s="7"/>
      <c r="W23" s="7"/>
      <c r="X23" s="7"/>
      <c r="Y23" s="7"/>
      <c r="Z23" s="7"/>
      <c r="AA23" s="7"/>
    </row>
    <row r="24" customFormat="false" ht="23.85" hidden="false" customHeight="false" outlineLevel="0" collapsed="false">
      <c r="A24" s="11" t="s">
        <v>92</v>
      </c>
      <c r="B24" s="11" t="s">
        <v>93</v>
      </c>
      <c r="C24" s="11" t="s">
        <v>94</v>
      </c>
      <c r="D24" s="12" t="n">
        <v>2</v>
      </c>
      <c r="E24" s="12" t="n">
        <v>4</v>
      </c>
      <c r="F24" s="13" t="s">
        <v>59</v>
      </c>
      <c r="G24" s="13" t="s">
        <v>95</v>
      </c>
      <c r="H24" s="14" t="n">
        <f aca="false">WORKDAY(MAX(I14),1,Holidays)</f>
        <v>46325</v>
      </c>
      <c r="I24" s="14" t="n">
        <f aca="false">WORKDAY(H24,E24-1,Holidays)</f>
        <v>46330</v>
      </c>
      <c r="J24" s="15" t="n">
        <f aca="false">D24*E24*HrsPerDay</f>
        <v>24</v>
      </c>
      <c r="K24" s="16" t="n">
        <v>0</v>
      </c>
      <c r="L24" s="16" t="n">
        <v>0</v>
      </c>
      <c r="M24" s="17" t="n">
        <f aca="false">K24+L24</f>
        <v>0</v>
      </c>
      <c r="N24" s="18"/>
      <c r="O24" s="13" t="str">
        <f aca="true">IF(N24="",IF(TODAY()&gt;I24,"Overdue",IF(TODAY()&gt;=H24,"In progress","Not started")),IF(N24&lt;I24,"Complete - early",IF(N24=I24,"Complete - on time","Complete - late")))</f>
        <v>Not started</v>
      </c>
      <c r="P24" s="13"/>
      <c r="Q24" s="13"/>
      <c r="R24" s="13"/>
      <c r="S24" s="13"/>
      <c r="T24" s="13"/>
      <c r="U24" s="13"/>
      <c r="V24" s="13"/>
      <c r="W24" s="13"/>
      <c r="X24" s="13"/>
      <c r="Y24" s="13"/>
      <c r="Z24" s="13"/>
      <c r="AA24" s="13"/>
    </row>
    <row r="25" customFormat="false" ht="23.85" hidden="false" customHeight="false" outlineLevel="0" collapsed="false">
      <c r="A25" s="11" t="s">
        <v>96</v>
      </c>
      <c r="B25" s="11" t="s">
        <v>97</v>
      </c>
      <c r="C25" s="11" t="s">
        <v>98</v>
      </c>
      <c r="D25" s="12" t="n">
        <v>2</v>
      </c>
      <c r="E25" s="12" t="n">
        <v>5</v>
      </c>
      <c r="F25" s="13" t="s">
        <v>92</v>
      </c>
      <c r="G25" s="13" t="s">
        <v>99</v>
      </c>
      <c r="H25" s="14" t="n">
        <f aca="false">WORKDAY(MAX(I24),1,Holidays)</f>
        <v>46331</v>
      </c>
      <c r="I25" s="14" t="n">
        <f aca="false">WORKDAY(H25,E25-1,Holidays)</f>
        <v>46337</v>
      </c>
      <c r="J25" s="15" t="n">
        <f aca="false">D25*E25*HrsPerDay</f>
        <v>30</v>
      </c>
      <c r="K25" s="16" t="n">
        <v>0</v>
      </c>
      <c r="L25" s="16" t="n">
        <v>0</v>
      </c>
      <c r="M25" s="17" t="n">
        <f aca="false">K25+L25</f>
        <v>0</v>
      </c>
      <c r="N25" s="18"/>
      <c r="O25" s="13" t="str">
        <f aca="true">IF(N25="",IF(TODAY()&gt;I25,"Overdue",IF(TODAY()&gt;=H25,"In progress","Not started")),IF(N25&lt;I25,"Complete - early",IF(N25=I25,"Complete - on time","Complete - late")))</f>
        <v>Not started</v>
      </c>
      <c r="P25" s="13"/>
      <c r="Q25" s="13"/>
      <c r="R25" s="13"/>
      <c r="S25" s="13"/>
      <c r="T25" s="13"/>
      <c r="U25" s="13"/>
      <c r="V25" s="13"/>
      <c r="W25" s="13"/>
      <c r="X25" s="13"/>
      <c r="Y25" s="13"/>
      <c r="Z25" s="13"/>
      <c r="AA25" s="13"/>
    </row>
    <row r="26" customFormat="false" ht="23.85" hidden="false" customHeight="false" outlineLevel="0" collapsed="false">
      <c r="A26" s="11" t="s">
        <v>100</v>
      </c>
      <c r="B26" s="11" t="s">
        <v>101</v>
      </c>
      <c r="C26" s="11" t="s">
        <v>102</v>
      </c>
      <c r="D26" s="12" t="n">
        <v>1</v>
      </c>
      <c r="E26" s="12" t="n">
        <v>2</v>
      </c>
      <c r="F26" s="13" t="s">
        <v>92</v>
      </c>
      <c r="G26" s="13" t="s">
        <v>103</v>
      </c>
      <c r="H26" s="14" t="n">
        <f aca="false">WORKDAY(MAX(I24),1,Holidays)</f>
        <v>46331</v>
      </c>
      <c r="I26" s="14" t="n">
        <f aca="false">WORKDAY(H26,E26-1,Holidays)</f>
        <v>46332</v>
      </c>
      <c r="J26" s="15" t="n">
        <f aca="false">D26*E26*HrsPerDay</f>
        <v>6</v>
      </c>
      <c r="K26" s="16" t="n">
        <v>0</v>
      </c>
      <c r="L26" s="16" t="n">
        <v>0</v>
      </c>
      <c r="M26" s="17" t="n">
        <f aca="false">K26+L26</f>
        <v>0</v>
      </c>
      <c r="N26" s="18"/>
      <c r="O26" s="13" t="str">
        <f aca="true">IF(N26="",IF(TODAY()&gt;I26,"Overdue",IF(TODAY()&gt;=H26,"In progress","Not started")),IF(N26&lt;I26,"Complete - early",IF(N26=I26,"Complete - on time","Complete - late")))</f>
        <v>Not started</v>
      </c>
      <c r="P26" s="13"/>
      <c r="Q26" s="13"/>
      <c r="R26" s="13"/>
      <c r="S26" s="13"/>
      <c r="T26" s="13"/>
      <c r="U26" s="13"/>
      <c r="V26" s="13"/>
      <c r="W26" s="13"/>
      <c r="X26" s="13"/>
      <c r="Y26" s="13"/>
      <c r="Z26" s="13"/>
      <c r="AA26" s="13"/>
    </row>
    <row r="27" customFormat="false" ht="15" hidden="false" customHeight="false" outlineLevel="0" collapsed="false">
      <c r="A27" s="11" t="s">
        <v>103</v>
      </c>
      <c r="B27" s="11" t="s">
        <v>104</v>
      </c>
      <c r="C27" s="11" t="s">
        <v>105</v>
      </c>
      <c r="D27" s="12" t="n">
        <v>2</v>
      </c>
      <c r="E27" s="12" t="n">
        <v>3</v>
      </c>
      <c r="F27" s="13" t="s">
        <v>95</v>
      </c>
      <c r="G27" s="13" t="s">
        <v>106</v>
      </c>
      <c r="H27" s="14" t="n">
        <f aca="false">WORKDAY(MAX(I25,I26),1,Holidays)</f>
        <v>46338</v>
      </c>
      <c r="I27" s="14" t="n">
        <f aca="false">WORKDAY(H27,E27-1,Holidays)</f>
        <v>46342</v>
      </c>
      <c r="J27" s="15" t="n">
        <f aca="false">D27*E27*HrsPerDay</f>
        <v>18</v>
      </c>
      <c r="K27" s="16" t="n">
        <v>0</v>
      </c>
      <c r="L27" s="16" t="n">
        <v>0</v>
      </c>
      <c r="M27" s="17" t="n">
        <f aca="false">K27+L27</f>
        <v>0</v>
      </c>
      <c r="N27" s="18"/>
      <c r="O27" s="13" t="str">
        <f aca="true">IF(N27="",IF(TODAY()&gt;I27,"Overdue",IF(TODAY()&gt;=H27,"In progress","Not started")),IF(N27&lt;I27,"Complete - early",IF(N27=I27,"Complete - on time","Complete - late")))</f>
        <v>Not started</v>
      </c>
      <c r="P27" s="13"/>
      <c r="Q27" s="13"/>
      <c r="R27" s="13"/>
      <c r="S27" s="13"/>
      <c r="T27" s="13"/>
      <c r="U27" s="13"/>
      <c r="V27" s="13"/>
      <c r="W27" s="13"/>
      <c r="X27" s="13"/>
      <c r="Y27" s="13"/>
      <c r="Z27" s="13"/>
      <c r="AA27" s="13"/>
    </row>
    <row r="28" customFormat="false" ht="15" hidden="false" customHeight="false" outlineLevel="0" collapsed="false">
      <c r="A28" s="11" t="s">
        <v>106</v>
      </c>
      <c r="B28" s="11" t="s">
        <v>107</v>
      </c>
      <c r="C28" s="11" t="s">
        <v>108</v>
      </c>
      <c r="D28" s="12" t="n">
        <v>2</v>
      </c>
      <c r="E28" s="12" t="n">
        <v>2</v>
      </c>
      <c r="F28" s="13" t="s">
        <v>103</v>
      </c>
      <c r="G28" s="13" t="s">
        <v>86</v>
      </c>
      <c r="H28" s="14" t="n">
        <f aca="false">WORKDAY(MAX(I27),1,Holidays)</f>
        <v>46343</v>
      </c>
      <c r="I28" s="14" t="n">
        <f aca="false">WORKDAY(H28,E28-1,Holidays)</f>
        <v>46344</v>
      </c>
      <c r="J28" s="15" t="n">
        <f aca="false">D28*E28*HrsPerDay</f>
        <v>12</v>
      </c>
      <c r="K28" s="16" t="n">
        <v>0</v>
      </c>
      <c r="L28" s="16" t="n">
        <v>0</v>
      </c>
      <c r="M28" s="17" t="n">
        <f aca="false">K28+L28</f>
        <v>0</v>
      </c>
      <c r="N28" s="18"/>
      <c r="O28" s="13" t="str">
        <f aca="true">IF(N28="",IF(TODAY()&gt;I28,"Overdue",IF(TODAY()&gt;=H28,"In progress","Not started")),IF(N28&lt;I28,"Complete - early",IF(N28=I28,"Complete - on time","Complete - late")))</f>
        <v>Not started</v>
      </c>
      <c r="P28" s="13"/>
      <c r="Q28" s="13"/>
      <c r="R28" s="13"/>
      <c r="S28" s="13"/>
      <c r="T28" s="13"/>
      <c r="U28" s="13"/>
      <c r="V28" s="13"/>
      <c r="W28" s="13"/>
      <c r="X28" s="13"/>
      <c r="Y28" s="13"/>
      <c r="Z28" s="13"/>
      <c r="AA28" s="13"/>
    </row>
    <row r="29" customFormat="false" ht="15" hidden="false" customHeight="false" outlineLevel="0" collapsed="false">
      <c r="A29" s="6" t="s">
        <v>109</v>
      </c>
      <c r="B29" s="6" t="s">
        <v>110</v>
      </c>
      <c r="C29" s="6"/>
      <c r="D29" s="7"/>
      <c r="E29" s="7" t="n">
        <f aca="false">NETWORKDAYS(H29,I29,Holidays)</f>
        <v>22</v>
      </c>
      <c r="F29" s="7"/>
      <c r="G29" s="7"/>
      <c r="H29" s="8" t="n">
        <f aca="false">MIN(H30:H34)</f>
        <v>46325</v>
      </c>
      <c r="I29" s="8" t="n">
        <f aca="false">MAX(I30:I34)</f>
        <v>46358</v>
      </c>
      <c r="J29" s="9" t="n">
        <f aca="false">SUM(J30:J34)</f>
        <v>147</v>
      </c>
      <c r="K29" s="10" t="n">
        <f aca="false">SUM(K30:K34)</f>
        <v>0</v>
      </c>
      <c r="L29" s="10" t="n">
        <f aca="false">SUM(L30:L34)</f>
        <v>0</v>
      </c>
      <c r="M29" s="10" t="n">
        <f aca="false">SUM(M30:M34)</f>
        <v>0</v>
      </c>
      <c r="N29" s="8" t="str">
        <f aca="false">IF(COUNT(N30:N34)=ROWS(N30:N34),MAX(N30:N34),"")</f>
        <v/>
      </c>
      <c r="O29" s="7" t="str">
        <f aca="true">IF(N29="",IF(COUNT(N30:N34)&gt;0,"In progress",IF(TODAY()&gt;=H29,"In progress","Not started")),IF(N29&lt;I29,"Complete - early",IF(N29=I29,"Complete - on time","Complete - late")))</f>
        <v>Not started</v>
      </c>
      <c r="P29" s="7"/>
      <c r="Q29" s="7"/>
      <c r="R29" s="7"/>
      <c r="S29" s="7"/>
      <c r="T29" s="7"/>
      <c r="U29" s="7"/>
      <c r="V29" s="7"/>
      <c r="W29" s="7"/>
      <c r="X29" s="7"/>
      <c r="Y29" s="7"/>
      <c r="Z29" s="7"/>
      <c r="AA29" s="7"/>
    </row>
    <row r="30" customFormat="false" ht="23.85" hidden="false" customHeight="false" outlineLevel="0" collapsed="false">
      <c r="A30" s="11" t="s">
        <v>111</v>
      </c>
      <c r="B30" s="11" t="s">
        <v>112</v>
      </c>
      <c r="C30" s="11" t="s">
        <v>113</v>
      </c>
      <c r="D30" s="12" t="n">
        <v>2</v>
      </c>
      <c r="E30" s="12" t="n">
        <v>3</v>
      </c>
      <c r="F30" s="13" t="s">
        <v>50</v>
      </c>
      <c r="G30" s="13" t="s">
        <v>114</v>
      </c>
      <c r="H30" s="14" t="n">
        <f aca="false">WORKDAY(MAX(I11),1,Holidays)</f>
        <v>46325</v>
      </c>
      <c r="I30" s="14" t="n">
        <f aca="false">WORKDAY(H30,E30-1,Holidays)</f>
        <v>46329</v>
      </c>
      <c r="J30" s="15" t="n">
        <f aca="false">D30*E30*HrsPerDay</f>
        <v>18</v>
      </c>
      <c r="K30" s="16" t="n">
        <v>0</v>
      </c>
      <c r="L30" s="16" t="n">
        <v>0</v>
      </c>
      <c r="M30" s="17" t="n">
        <f aca="false">K30+L30</f>
        <v>0</v>
      </c>
      <c r="N30" s="18"/>
      <c r="O30" s="13" t="str">
        <f aca="true">IF(N30="",IF(TODAY()&gt;I30,"Overdue",IF(TODAY()&gt;=H30,"In progress","Not started")),IF(N30&lt;I30,"Complete - early",IF(N30=I30,"Complete - on time","Complete - late")))</f>
        <v>Not started</v>
      </c>
      <c r="P30" s="13"/>
      <c r="Q30" s="13"/>
      <c r="R30" s="13"/>
      <c r="S30" s="13"/>
      <c r="T30" s="13"/>
      <c r="U30" s="13"/>
      <c r="V30" s="13"/>
      <c r="W30" s="13"/>
      <c r="X30" s="13"/>
      <c r="Y30" s="13"/>
      <c r="Z30" s="13"/>
      <c r="AA30" s="13"/>
    </row>
    <row r="31" customFormat="false" ht="23.85" hidden="false" customHeight="false" outlineLevel="0" collapsed="false">
      <c r="A31" s="11" t="s">
        <v>114</v>
      </c>
      <c r="B31" s="11" t="s">
        <v>115</v>
      </c>
      <c r="C31" s="11" t="s">
        <v>116</v>
      </c>
      <c r="D31" s="12" t="n">
        <v>2</v>
      </c>
      <c r="E31" s="12" t="n">
        <v>5</v>
      </c>
      <c r="F31" s="13" t="s">
        <v>111</v>
      </c>
      <c r="G31" s="13" t="s">
        <v>117</v>
      </c>
      <c r="H31" s="14" t="n">
        <f aca="false">WORKDAY(MAX(I30),1,Holidays)</f>
        <v>46330</v>
      </c>
      <c r="I31" s="14" t="n">
        <f aca="false">WORKDAY(H31,E31-1,Holidays)</f>
        <v>46336</v>
      </c>
      <c r="J31" s="15" t="n">
        <f aca="false">D31*E31*HrsPerDay</f>
        <v>30</v>
      </c>
      <c r="K31" s="16" t="n">
        <v>0</v>
      </c>
      <c r="L31" s="16" t="n">
        <v>0</v>
      </c>
      <c r="M31" s="17" t="n">
        <f aca="false">K31+L31</f>
        <v>0</v>
      </c>
      <c r="N31" s="18"/>
      <c r="O31" s="13" t="str">
        <f aca="true">IF(N31="",IF(TODAY()&gt;I31,"Overdue",IF(TODAY()&gt;=H31,"In progress","Not started")),IF(N31&lt;I31,"Complete - early",IF(N31=I31,"Complete - on time","Complete - late")))</f>
        <v>Not started</v>
      </c>
      <c r="P31" s="13"/>
      <c r="Q31" s="13"/>
      <c r="R31" s="13"/>
      <c r="S31" s="13"/>
      <c r="T31" s="13"/>
      <c r="U31" s="13"/>
      <c r="V31" s="13"/>
      <c r="W31" s="13"/>
      <c r="X31" s="13"/>
      <c r="Y31" s="13"/>
      <c r="Z31" s="13"/>
      <c r="AA31" s="13"/>
    </row>
    <row r="32" customFormat="false" ht="23.85" hidden="false" customHeight="false" outlineLevel="0" collapsed="false">
      <c r="A32" s="11" t="s">
        <v>117</v>
      </c>
      <c r="B32" s="11" t="s">
        <v>118</v>
      </c>
      <c r="C32" s="11" t="s">
        <v>119</v>
      </c>
      <c r="D32" s="12" t="n">
        <v>3</v>
      </c>
      <c r="E32" s="12" t="n">
        <v>8</v>
      </c>
      <c r="F32" s="13" t="s">
        <v>114</v>
      </c>
      <c r="G32" s="13" t="s">
        <v>120</v>
      </c>
      <c r="H32" s="14" t="n">
        <f aca="false">WORKDAY(MAX(I31),1,Holidays)</f>
        <v>46337</v>
      </c>
      <c r="I32" s="14" t="n">
        <f aca="false">WORKDAY(H32,E32-1,Holidays)</f>
        <v>46346</v>
      </c>
      <c r="J32" s="15" t="n">
        <f aca="false">D32*E32*HrsPerDay</f>
        <v>72</v>
      </c>
      <c r="K32" s="16" t="n">
        <v>0</v>
      </c>
      <c r="L32" s="16" t="n">
        <v>0</v>
      </c>
      <c r="M32" s="17" t="n">
        <f aca="false">K32+L32</f>
        <v>0</v>
      </c>
      <c r="N32" s="18"/>
      <c r="O32" s="13" t="str">
        <f aca="true">IF(N32="",IF(TODAY()&gt;I32,"Overdue",IF(TODAY()&gt;=H32,"In progress","Not started")),IF(N32&lt;I32,"Complete - early",IF(N32=I32,"Complete - on time","Complete - late")))</f>
        <v>Not started</v>
      </c>
      <c r="P32" s="13"/>
      <c r="Q32" s="13"/>
      <c r="R32" s="13"/>
      <c r="S32" s="13"/>
      <c r="T32" s="13"/>
      <c r="U32" s="13"/>
      <c r="V32" s="13"/>
      <c r="W32" s="13"/>
      <c r="X32" s="13"/>
      <c r="Y32" s="13"/>
      <c r="Z32" s="13"/>
      <c r="AA32" s="13"/>
    </row>
    <row r="33" customFormat="false" ht="15" hidden="false" customHeight="false" outlineLevel="0" collapsed="false">
      <c r="A33" s="11" t="s">
        <v>120</v>
      </c>
      <c r="B33" s="11" t="s">
        <v>121</v>
      </c>
      <c r="C33" s="11" t="s">
        <v>122</v>
      </c>
      <c r="D33" s="12" t="n">
        <v>1</v>
      </c>
      <c r="E33" s="12" t="n">
        <v>3</v>
      </c>
      <c r="F33" s="13" t="s">
        <v>123</v>
      </c>
      <c r="G33" s="13" t="s">
        <v>124</v>
      </c>
      <c r="H33" s="14" t="n">
        <f aca="false">WORKDAY(MAX(I32,I25),1,Holidays)</f>
        <v>46349</v>
      </c>
      <c r="I33" s="14" t="n">
        <f aca="false">WORKDAY(H33,E33-1,Holidays)</f>
        <v>46351</v>
      </c>
      <c r="J33" s="15" t="n">
        <f aca="false">D33*E33*HrsPerDay</f>
        <v>9</v>
      </c>
      <c r="K33" s="16" t="n">
        <v>0</v>
      </c>
      <c r="L33" s="16" t="n">
        <v>0</v>
      </c>
      <c r="M33" s="17" t="n">
        <f aca="false">K33+L33</f>
        <v>0</v>
      </c>
      <c r="N33" s="18"/>
      <c r="O33" s="13" t="str">
        <f aca="true">IF(N33="",IF(TODAY()&gt;I33,"Overdue",IF(TODAY()&gt;=H33,"In progress","Not started")),IF(N33&lt;I33,"Complete - early",IF(N33=I33,"Complete - on time","Complete - late")))</f>
        <v>Not started</v>
      </c>
      <c r="P33" s="13"/>
      <c r="Q33" s="13"/>
      <c r="R33" s="13"/>
      <c r="S33" s="13"/>
      <c r="T33" s="13"/>
      <c r="U33" s="13"/>
      <c r="V33" s="13"/>
      <c r="W33" s="13"/>
      <c r="X33" s="13"/>
      <c r="Y33" s="13"/>
      <c r="Z33" s="13"/>
      <c r="AA33" s="13"/>
    </row>
    <row r="34" customFormat="false" ht="15" hidden="false" customHeight="false" outlineLevel="0" collapsed="false">
      <c r="A34" s="11" t="s">
        <v>125</v>
      </c>
      <c r="B34" s="11" t="s">
        <v>126</v>
      </c>
      <c r="C34" s="11" t="s">
        <v>127</v>
      </c>
      <c r="D34" s="12" t="n">
        <v>2</v>
      </c>
      <c r="E34" s="12" t="n">
        <v>3</v>
      </c>
      <c r="F34" s="13" t="s">
        <v>120</v>
      </c>
      <c r="G34" s="13" t="s">
        <v>128</v>
      </c>
      <c r="H34" s="14" t="n">
        <f aca="false">WORKDAY(MAX(I33),1,Holidays)</f>
        <v>46356</v>
      </c>
      <c r="I34" s="14" t="n">
        <f aca="false">WORKDAY(H34,E34-1,Holidays)</f>
        <v>46358</v>
      </c>
      <c r="J34" s="15" t="n">
        <f aca="false">D34*E34*HrsPerDay</f>
        <v>18</v>
      </c>
      <c r="K34" s="16" t="n">
        <v>0</v>
      </c>
      <c r="L34" s="16" t="n">
        <v>0</v>
      </c>
      <c r="M34" s="17" t="n">
        <f aca="false">K34+L34</f>
        <v>0</v>
      </c>
      <c r="N34" s="18"/>
      <c r="O34" s="13" t="str">
        <f aca="true">IF(N34="",IF(TODAY()&gt;I34,"Overdue",IF(TODAY()&gt;=H34,"In progress","Not started")),IF(N34&lt;I34,"Complete - early",IF(N34=I34,"Complete - on time","Complete - late")))</f>
        <v>Not started</v>
      </c>
      <c r="P34" s="13"/>
      <c r="Q34" s="13"/>
      <c r="R34" s="13"/>
      <c r="S34" s="13"/>
      <c r="T34" s="13"/>
      <c r="U34" s="13"/>
      <c r="V34" s="13"/>
      <c r="W34" s="13"/>
      <c r="X34" s="13"/>
      <c r="Y34" s="13"/>
      <c r="Z34" s="13"/>
      <c r="AA34" s="13"/>
    </row>
    <row r="35" customFormat="false" ht="15" hidden="false" customHeight="false" outlineLevel="0" collapsed="false">
      <c r="A35" s="6" t="s">
        <v>129</v>
      </c>
      <c r="B35" s="6" t="s">
        <v>130</v>
      </c>
      <c r="C35" s="6"/>
      <c r="D35" s="7"/>
      <c r="E35" s="7" t="n">
        <f aca="false">NETWORKDAYS(H35,I35,Holidays)</f>
        <v>18</v>
      </c>
      <c r="F35" s="7"/>
      <c r="G35" s="7"/>
      <c r="H35" s="8" t="n">
        <f aca="false">MIN(H36:H39)</f>
        <v>46322</v>
      </c>
      <c r="I35" s="8" t="n">
        <f aca="false">MAX(I36:I39)</f>
        <v>46345</v>
      </c>
      <c r="J35" s="9" t="n">
        <f aca="false">SUM(J36:J39)</f>
        <v>132</v>
      </c>
      <c r="K35" s="10" t="n">
        <f aca="false">SUM(K36:K39)</f>
        <v>0</v>
      </c>
      <c r="L35" s="10" t="n">
        <f aca="false">SUM(L36:L39)</f>
        <v>2500</v>
      </c>
      <c r="M35" s="10" t="n">
        <f aca="false">SUM(M36:M39)</f>
        <v>2500</v>
      </c>
      <c r="N35" s="8" t="str">
        <f aca="false">IF(COUNT(N36:N39)=ROWS(N36:N39),MAX(N36:N39),"")</f>
        <v/>
      </c>
      <c r="O35" s="7" t="str">
        <f aca="true">IF(N35="",IF(COUNT(N36:N39)&gt;0,"In progress",IF(TODAY()&gt;=H35,"In progress","Not started")),IF(N35&lt;I35,"Complete - early",IF(N35=I35,"Complete - on time","Complete - late")))</f>
        <v>Not started</v>
      </c>
      <c r="P35" s="7"/>
      <c r="Q35" s="7"/>
      <c r="R35" s="7"/>
      <c r="S35" s="7"/>
      <c r="T35" s="7"/>
      <c r="U35" s="7"/>
      <c r="V35" s="7"/>
      <c r="W35" s="7"/>
      <c r="X35" s="7"/>
      <c r="Y35" s="7"/>
      <c r="Z35" s="7"/>
      <c r="AA35" s="7"/>
    </row>
    <row r="36" customFormat="false" ht="23.85" hidden="false" customHeight="false" outlineLevel="0" collapsed="false">
      <c r="A36" s="11" t="s">
        <v>131</v>
      </c>
      <c r="B36" s="11" t="s">
        <v>132</v>
      </c>
      <c r="C36" s="11" t="s">
        <v>133</v>
      </c>
      <c r="D36" s="12" t="n">
        <v>2</v>
      </c>
      <c r="E36" s="12" t="n">
        <v>2</v>
      </c>
      <c r="F36" s="13" t="s">
        <v>42</v>
      </c>
      <c r="G36" s="13" t="s">
        <v>134</v>
      </c>
      <c r="H36" s="14" t="n">
        <f aca="false">WORKDAY(MAX(I9),1,Holidays)</f>
        <v>46322</v>
      </c>
      <c r="I36" s="14" t="n">
        <f aca="false">WORKDAY(H36,E36-1,Holidays)</f>
        <v>46323</v>
      </c>
      <c r="J36" s="15" t="n">
        <f aca="false">D36*E36*HrsPerDay</f>
        <v>12</v>
      </c>
      <c r="K36" s="16" t="n">
        <v>0</v>
      </c>
      <c r="L36" s="16" t="n">
        <v>0</v>
      </c>
      <c r="M36" s="17" t="n">
        <f aca="false">K36+L36</f>
        <v>0</v>
      </c>
      <c r="N36" s="18"/>
      <c r="O36" s="13" t="str">
        <f aca="true">IF(N36="",IF(TODAY()&gt;I36,"Overdue",IF(TODAY()&gt;=H36,"In progress","Not started")),IF(N36&lt;I36,"Complete - early",IF(N36=I36,"Complete - on time","Complete - late")))</f>
        <v>Not started</v>
      </c>
      <c r="P36" s="13"/>
      <c r="Q36" s="13"/>
      <c r="R36" s="13"/>
      <c r="S36" s="13"/>
      <c r="T36" s="13"/>
      <c r="U36" s="13"/>
      <c r="V36" s="13"/>
      <c r="W36" s="13"/>
      <c r="X36" s="13"/>
      <c r="Y36" s="13"/>
      <c r="Z36" s="13"/>
      <c r="AA36" s="13"/>
    </row>
    <row r="37" customFormat="false" ht="23.85" hidden="false" customHeight="false" outlineLevel="0" collapsed="false">
      <c r="A37" s="11" t="s">
        <v>134</v>
      </c>
      <c r="B37" s="11" t="s">
        <v>135</v>
      </c>
      <c r="C37" s="11" t="s">
        <v>136</v>
      </c>
      <c r="D37" s="12" t="n">
        <v>2</v>
      </c>
      <c r="E37" s="12" t="n">
        <v>5</v>
      </c>
      <c r="F37" s="13" t="s">
        <v>131</v>
      </c>
      <c r="G37" s="13" t="s">
        <v>137</v>
      </c>
      <c r="H37" s="14" t="n">
        <f aca="false">WORKDAY(MAX(I36),1,Holidays)</f>
        <v>46324</v>
      </c>
      <c r="I37" s="14" t="n">
        <f aca="false">WORKDAY(H37,E37-1,Holidays)</f>
        <v>46330</v>
      </c>
      <c r="J37" s="15" t="n">
        <f aca="false">D37*E37*HrsPerDay</f>
        <v>30</v>
      </c>
      <c r="K37" s="16" t="n">
        <v>0</v>
      </c>
      <c r="L37" s="16" t="n">
        <v>2500</v>
      </c>
      <c r="M37" s="17" t="n">
        <f aca="false">K37+L37</f>
        <v>2500</v>
      </c>
      <c r="N37" s="18"/>
      <c r="O37" s="13" t="str">
        <f aca="true">IF(N37="",IF(TODAY()&gt;I37,"Overdue",IF(TODAY()&gt;=H37,"In progress","Not started")),IF(N37&lt;I37,"Complete - early",IF(N37=I37,"Complete - on time","Complete - late")))</f>
        <v>Not started</v>
      </c>
      <c r="P37" s="13"/>
      <c r="Q37" s="13"/>
      <c r="R37" s="13"/>
      <c r="S37" s="13"/>
      <c r="T37" s="13"/>
      <c r="U37" s="13"/>
      <c r="V37" s="13"/>
      <c r="W37" s="13"/>
      <c r="X37" s="13"/>
      <c r="Y37" s="13"/>
      <c r="Z37" s="13"/>
      <c r="AA37" s="13"/>
    </row>
    <row r="38" customFormat="false" ht="23.85" hidden="false" customHeight="false" outlineLevel="0" collapsed="false">
      <c r="A38" s="11" t="s">
        <v>137</v>
      </c>
      <c r="B38" s="11" t="s">
        <v>138</v>
      </c>
      <c r="C38" s="11" t="s">
        <v>139</v>
      </c>
      <c r="D38" s="12" t="n">
        <v>3</v>
      </c>
      <c r="E38" s="12" t="n">
        <v>8</v>
      </c>
      <c r="F38" s="13" t="s">
        <v>140</v>
      </c>
      <c r="G38" s="13" t="s">
        <v>141</v>
      </c>
      <c r="H38" s="14" t="n">
        <f aca="false">WORKDAY(MAX(I37,I15),1,Holidays)</f>
        <v>46331</v>
      </c>
      <c r="I38" s="14" t="n">
        <f aca="false">WORKDAY(H38,E38-1,Holidays)</f>
        <v>46342</v>
      </c>
      <c r="J38" s="15" t="n">
        <f aca="false">D38*E38*HrsPerDay</f>
        <v>72</v>
      </c>
      <c r="K38" s="16" t="n">
        <v>0</v>
      </c>
      <c r="L38" s="16" t="n">
        <v>0</v>
      </c>
      <c r="M38" s="17" t="n">
        <f aca="false">K38+L38</f>
        <v>0</v>
      </c>
      <c r="N38" s="18"/>
      <c r="O38" s="13" t="str">
        <f aca="true">IF(N38="",IF(TODAY()&gt;I38,"Overdue",IF(TODAY()&gt;=H38,"In progress","Not started")),IF(N38&lt;I38,"Complete - early",IF(N38=I38,"Complete - on time","Complete - late")))</f>
        <v>Not started</v>
      </c>
      <c r="P38" s="13"/>
      <c r="Q38" s="13"/>
      <c r="R38" s="13"/>
      <c r="S38" s="13"/>
      <c r="T38" s="13"/>
      <c r="U38" s="13"/>
      <c r="V38" s="13"/>
      <c r="W38" s="13"/>
      <c r="X38" s="13"/>
      <c r="Y38" s="13"/>
      <c r="Z38" s="13"/>
      <c r="AA38" s="13"/>
    </row>
    <row r="39" customFormat="false" ht="23.85" hidden="false" customHeight="false" outlineLevel="0" collapsed="false">
      <c r="A39" s="11" t="s">
        <v>141</v>
      </c>
      <c r="B39" s="11" t="s">
        <v>142</v>
      </c>
      <c r="C39" s="11" t="s">
        <v>143</v>
      </c>
      <c r="D39" s="12" t="n">
        <v>2</v>
      </c>
      <c r="E39" s="12" t="n">
        <v>3</v>
      </c>
      <c r="F39" s="13" t="s">
        <v>137</v>
      </c>
      <c r="G39" s="13" t="s">
        <v>128</v>
      </c>
      <c r="H39" s="14" t="n">
        <f aca="false">WORKDAY(MAX(I38),1,Holidays)</f>
        <v>46343</v>
      </c>
      <c r="I39" s="14" t="n">
        <f aca="false">WORKDAY(H39,E39-1,Holidays)</f>
        <v>46345</v>
      </c>
      <c r="J39" s="15" t="n">
        <f aca="false">D39*E39*HrsPerDay</f>
        <v>18</v>
      </c>
      <c r="K39" s="16" t="n">
        <v>0</v>
      </c>
      <c r="L39" s="16" t="n">
        <v>0</v>
      </c>
      <c r="M39" s="17" t="n">
        <f aca="false">K39+L39</f>
        <v>0</v>
      </c>
      <c r="N39" s="18"/>
      <c r="O39" s="13" t="str">
        <f aca="true">IF(N39="",IF(TODAY()&gt;I39,"Overdue",IF(TODAY()&gt;=H39,"In progress","Not started")),IF(N39&lt;I39,"Complete - early",IF(N39=I39,"Complete - on time","Complete - late")))</f>
        <v>Not started</v>
      </c>
      <c r="P39" s="13"/>
      <c r="Q39" s="13"/>
      <c r="R39" s="13"/>
      <c r="S39" s="13"/>
      <c r="T39" s="13"/>
      <c r="U39" s="13"/>
      <c r="V39" s="13"/>
      <c r="W39" s="13"/>
      <c r="X39" s="13"/>
      <c r="Y39" s="13"/>
      <c r="Z39" s="13"/>
      <c r="AA39" s="13"/>
    </row>
    <row r="40" customFormat="false" ht="23.85" hidden="false" customHeight="false" outlineLevel="0" collapsed="false">
      <c r="A40" s="6" t="s">
        <v>144</v>
      </c>
      <c r="B40" s="6" t="s">
        <v>145</v>
      </c>
      <c r="C40" s="6"/>
      <c r="D40" s="7"/>
      <c r="E40" s="7" t="n">
        <f aca="false">NETWORKDAYS(H40,I40,Holidays)</f>
        <v>9</v>
      </c>
      <c r="F40" s="7"/>
      <c r="G40" s="7"/>
      <c r="H40" s="8" t="n">
        <f aca="false">MIN(H41:H43)</f>
        <v>46356</v>
      </c>
      <c r="I40" s="8" t="n">
        <f aca="false">MAX(I41:I43)</f>
        <v>46366</v>
      </c>
      <c r="J40" s="9" t="n">
        <f aca="false">SUM(J41:J43)</f>
        <v>54</v>
      </c>
      <c r="K40" s="10" t="n">
        <f aca="false">SUM(K41:K43)</f>
        <v>0</v>
      </c>
      <c r="L40" s="10" t="n">
        <f aca="false">SUM(L41:L43)</f>
        <v>0</v>
      </c>
      <c r="M40" s="10" t="n">
        <f aca="false">SUM(M41:M43)</f>
        <v>0</v>
      </c>
      <c r="N40" s="8" t="str">
        <f aca="false">IF(COUNT(N41:N43)=ROWS(N41:N43),MAX(N41:N43),"")</f>
        <v/>
      </c>
      <c r="O40" s="7" t="str">
        <f aca="true">IF(N40="",IF(COUNT(N41:N43)&gt;0,"In progress",IF(TODAY()&gt;=H40,"In progress","Not started")),IF(N40&lt;I40,"Complete - early",IF(N40=I40,"Complete - on time","Complete - late")))</f>
        <v>Not started</v>
      </c>
      <c r="P40" s="7"/>
      <c r="Q40" s="7"/>
      <c r="R40" s="7"/>
      <c r="S40" s="7"/>
      <c r="T40" s="7"/>
      <c r="U40" s="7"/>
      <c r="V40" s="7"/>
      <c r="W40" s="7"/>
      <c r="X40" s="7"/>
      <c r="Y40" s="7"/>
      <c r="Z40" s="7"/>
      <c r="AA40" s="7"/>
    </row>
    <row r="41" customFormat="false" ht="23.85" hidden="false" customHeight="false" outlineLevel="0" collapsed="false">
      <c r="A41" s="11" t="s">
        <v>146</v>
      </c>
      <c r="B41" s="11" t="s">
        <v>147</v>
      </c>
      <c r="C41" s="11" t="s">
        <v>66</v>
      </c>
      <c r="D41" s="12" t="n">
        <v>2</v>
      </c>
      <c r="E41" s="12" t="n">
        <v>2</v>
      </c>
      <c r="F41" s="13" t="s">
        <v>148</v>
      </c>
      <c r="G41" s="13" t="s">
        <v>149</v>
      </c>
      <c r="H41" s="14" t="n">
        <f aca="false">WORKDAY(MAX(I28,I21,I33),1,Holidays)</f>
        <v>46356</v>
      </c>
      <c r="I41" s="14" t="n">
        <f aca="false">WORKDAY(H41,E41-1,Holidays)</f>
        <v>46357</v>
      </c>
      <c r="J41" s="15" t="n">
        <f aca="false">D41*E41*HrsPerDay</f>
        <v>12</v>
      </c>
      <c r="K41" s="16" t="n">
        <v>0</v>
      </c>
      <c r="L41" s="16" t="n">
        <v>0</v>
      </c>
      <c r="M41" s="17" t="n">
        <f aca="false">K41+L41</f>
        <v>0</v>
      </c>
      <c r="N41" s="18"/>
      <c r="O41" s="13" t="str">
        <f aca="true">IF(N41="",IF(TODAY()&gt;I41,"Overdue",IF(TODAY()&gt;=H41,"In progress","Not started")),IF(N41&lt;I41,"Complete - early",IF(N41=I41,"Complete - on time","Complete - late")))</f>
        <v>Not started</v>
      </c>
      <c r="P41" s="13"/>
      <c r="Q41" s="13"/>
      <c r="R41" s="13"/>
      <c r="S41" s="13"/>
      <c r="T41" s="13"/>
      <c r="U41" s="13"/>
      <c r="V41" s="13"/>
      <c r="W41" s="13"/>
      <c r="X41" s="13"/>
      <c r="Y41" s="13"/>
      <c r="Z41" s="13"/>
      <c r="AA41" s="13"/>
    </row>
    <row r="42" customFormat="false" ht="15" hidden="false" customHeight="false" outlineLevel="0" collapsed="false">
      <c r="A42" s="11" t="s">
        <v>149</v>
      </c>
      <c r="B42" s="11" t="s">
        <v>150</v>
      </c>
      <c r="C42" s="11" t="s">
        <v>105</v>
      </c>
      <c r="D42" s="12" t="n">
        <v>2</v>
      </c>
      <c r="E42" s="12" t="n">
        <v>5</v>
      </c>
      <c r="F42" s="13" t="s">
        <v>146</v>
      </c>
      <c r="G42" s="13" t="s">
        <v>151</v>
      </c>
      <c r="H42" s="14" t="n">
        <f aca="false">WORKDAY(MAX(I41),1,Holidays)</f>
        <v>46358</v>
      </c>
      <c r="I42" s="14" t="n">
        <f aca="false">WORKDAY(H42,E42-1,Holidays)</f>
        <v>46364</v>
      </c>
      <c r="J42" s="15" t="n">
        <f aca="false">D42*E42*HrsPerDay</f>
        <v>30</v>
      </c>
      <c r="K42" s="16" t="n">
        <v>0</v>
      </c>
      <c r="L42" s="16" t="n">
        <v>0</v>
      </c>
      <c r="M42" s="17" t="n">
        <f aca="false">K42+L42</f>
        <v>0</v>
      </c>
      <c r="N42" s="18"/>
      <c r="O42" s="13" t="str">
        <f aca="true">IF(N42="",IF(TODAY()&gt;I42,"Overdue",IF(TODAY()&gt;=H42,"In progress","Not started")),IF(N42&lt;I42,"Complete - early",IF(N42=I42,"Complete - on time","Complete - late")))</f>
        <v>Not started</v>
      </c>
      <c r="P42" s="13"/>
      <c r="Q42" s="13"/>
      <c r="R42" s="13"/>
      <c r="S42" s="13"/>
      <c r="T42" s="13"/>
      <c r="U42" s="13"/>
      <c r="V42" s="13"/>
      <c r="W42" s="13"/>
      <c r="X42" s="13"/>
      <c r="Y42" s="13"/>
      <c r="Z42" s="13"/>
      <c r="AA42" s="13"/>
    </row>
    <row r="43" customFormat="false" ht="23.85" hidden="false" customHeight="false" outlineLevel="0" collapsed="false">
      <c r="A43" s="11" t="s">
        <v>151</v>
      </c>
      <c r="B43" s="11" t="s">
        <v>152</v>
      </c>
      <c r="C43" s="11" t="s">
        <v>153</v>
      </c>
      <c r="D43" s="12" t="n">
        <v>2</v>
      </c>
      <c r="E43" s="12" t="n">
        <v>2</v>
      </c>
      <c r="F43" s="13" t="s">
        <v>149</v>
      </c>
      <c r="G43" s="13" t="s">
        <v>154</v>
      </c>
      <c r="H43" s="14" t="n">
        <f aca="false">WORKDAY(MAX(I42),1,Holidays)</f>
        <v>46365</v>
      </c>
      <c r="I43" s="14" t="n">
        <f aca="false">WORKDAY(H43,E43-1,Holidays)</f>
        <v>46366</v>
      </c>
      <c r="J43" s="15" t="n">
        <f aca="false">D43*E43*HrsPerDay</f>
        <v>12</v>
      </c>
      <c r="K43" s="16" t="n">
        <v>0</v>
      </c>
      <c r="L43" s="16" t="n">
        <v>0</v>
      </c>
      <c r="M43" s="17" t="n">
        <f aca="false">K43+L43</f>
        <v>0</v>
      </c>
      <c r="N43" s="18"/>
      <c r="O43" s="13" t="str">
        <f aca="true">IF(N43="",IF(TODAY()&gt;I43,"Overdue",IF(TODAY()&gt;=H43,"In progress","Not started")),IF(N43&lt;I43,"Complete - early",IF(N43=I43,"Complete - on time","Complete - late")))</f>
        <v>Not started</v>
      </c>
      <c r="P43" s="13"/>
      <c r="Q43" s="13"/>
      <c r="R43" s="13"/>
      <c r="S43" s="13"/>
      <c r="T43" s="13"/>
      <c r="U43" s="13"/>
      <c r="V43" s="13"/>
      <c r="W43" s="13"/>
      <c r="X43" s="13"/>
      <c r="Y43" s="13"/>
      <c r="Z43" s="13"/>
      <c r="AA43" s="13"/>
    </row>
    <row r="44" customFormat="false" ht="23.85" hidden="false" customHeight="false" outlineLevel="0" collapsed="false">
      <c r="A44" s="6" t="s">
        <v>155</v>
      </c>
      <c r="B44" s="6" t="s">
        <v>156</v>
      </c>
      <c r="C44" s="6"/>
      <c r="D44" s="7"/>
      <c r="E44" s="7" t="n">
        <f aca="false">NETWORKDAYS(H44,I44,Holidays)</f>
        <v>57</v>
      </c>
      <c r="F44" s="7"/>
      <c r="G44" s="7"/>
      <c r="H44" s="8" t="n">
        <f aca="false">MIN(H45:H49)</f>
        <v>46293</v>
      </c>
      <c r="I44" s="8" t="n">
        <f aca="false">MAX(I45:I49)</f>
        <v>46373</v>
      </c>
      <c r="J44" s="9" t="n">
        <f aca="false">SUM(J45:J49)</f>
        <v>279</v>
      </c>
      <c r="K44" s="10" t="n">
        <f aca="false">SUM(K45:K49)</f>
        <v>261.84</v>
      </c>
      <c r="L44" s="10" t="n">
        <f aca="false">SUM(L45:L49)</f>
        <v>0</v>
      </c>
      <c r="M44" s="10" t="n">
        <f aca="false">SUM(M45:M49)</f>
        <v>261.84</v>
      </c>
      <c r="N44" s="8" t="str">
        <f aca="false">IF(COUNT(N45:N49)=ROWS(N45:N49),MAX(N45:N49),"")</f>
        <v/>
      </c>
      <c r="O44" s="7" t="str">
        <f aca="true">IF(N44="",IF(COUNT(N45:N49)&gt;0,"In progress",IF(TODAY()&gt;=H44,"In progress","Not started")),IF(N44&lt;I44,"Complete - early",IF(N44=I44,"Complete - on time","Complete - late")))</f>
        <v>In progress</v>
      </c>
      <c r="P44" s="7"/>
      <c r="Q44" s="7"/>
      <c r="R44" s="7"/>
      <c r="S44" s="7"/>
      <c r="T44" s="7"/>
      <c r="U44" s="7"/>
      <c r="V44" s="7"/>
      <c r="W44" s="7"/>
      <c r="X44" s="7"/>
      <c r="Y44" s="7"/>
      <c r="Z44" s="7"/>
      <c r="AA44" s="7"/>
    </row>
    <row r="45" customFormat="false" ht="23.85" hidden="false" customHeight="false" outlineLevel="0" collapsed="false">
      <c r="A45" s="11" t="s">
        <v>157</v>
      </c>
      <c r="B45" s="11" t="s">
        <v>158</v>
      </c>
      <c r="C45" s="11" t="s">
        <v>159</v>
      </c>
      <c r="D45" s="12" t="n">
        <v>1</v>
      </c>
      <c r="E45" s="13" t="n">
        <f aca="false">NETWORKDAYS(ProjectStart,I49,Holidays)</f>
        <v>57</v>
      </c>
      <c r="F45" s="13" t="s">
        <v>34</v>
      </c>
      <c r="G45" s="13" t="s">
        <v>34</v>
      </c>
      <c r="H45" s="14" t="n">
        <f aca="false">WORKDAY(ProjectStart-1,1,Holidays)</f>
        <v>46293</v>
      </c>
      <c r="I45" s="14" t="n">
        <f aca="false">WORKDAY(H45,E45-1,Holidays)</f>
        <v>46373</v>
      </c>
      <c r="J45" s="15" t="n">
        <f aca="false">D45*E45*HrsPerDay</f>
        <v>171</v>
      </c>
      <c r="K45" s="19" t="n">
        <f aca="false">TeamSize*ClaudeMonths*ClaudeRate</f>
        <v>261.84</v>
      </c>
      <c r="L45" s="16" t="n">
        <v>0</v>
      </c>
      <c r="M45" s="17" t="n">
        <f aca="false">K45+L45</f>
        <v>261.84</v>
      </c>
      <c r="N45" s="18"/>
      <c r="O45" s="13" t="str">
        <f aca="true">IF(N45="",IF(TODAY()&gt;I45,"Overdue",IF(TODAY()&gt;=H45,"In progress","Not started")),IF(N45&lt;I45,"Complete - early",IF(N45=I45,"Complete - on time","Complete - late")))</f>
        <v>In progress</v>
      </c>
      <c r="P45" s="13"/>
      <c r="Q45" s="13"/>
      <c r="R45" s="13"/>
      <c r="S45" s="13"/>
      <c r="T45" s="13"/>
      <c r="U45" s="13"/>
      <c r="V45" s="13"/>
      <c r="W45" s="13"/>
      <c r="X45" s="13"/>
      <c r="Y45" s="13"/>
      <c r="Z45" s="13"/>
      <c r="AA45" s="13"/>
    </row>
    <row r="46" customFormat="false" ht="23.85" hidden="false" customHeight="false" outlineLevel="0" collapsed="false">
      <c r="A46" s="11" t="s">
        <v>128</v>
      </c>
      <c r="B46" s="11" t="s">
        <v>160</v>
      </c>
      <c r="C46" s="11" t="s">
        <v>161</v>
      </c>
      <c r="D46" s="12" t="n">
        <v>3</v>
      </c>
      <c r="E46" s="12" t="n">
        <v>5</v>
      </c>
      <c r="F46" s="13" t="s">
        <v>162</v>
      </c>
      <c r="G46" s="13" t="s">
        <v>163</v>
      </c>
      <c r="H46" s="14" t="n">
        <f aca="false">WORKDAY(MAX(I39,I34,I21,I28),1,Holidays)</f>
        <v>46359</v>
      </c>
      <c r="I46" s="14" t="n">
        <f aca="false">WORKDAY(H46,E46-1,Holidays)</f>
        <v>46365</v>
      </c>
      <c r="J46" s="15" t="n">
        <f aca="false">D46*E46*HrsPerDay</f>
        <v>45</v>
      </c>
      <c r="K46" s="16" t="n">
        <v>0</v>
      </c>
      <c r="L46" s="16" t="n">
        <v>0</v>
      </c>
      <c r="M46" s="17" t="n">
        <f aca="false">K46+L46</f>
        <v>0</v>
      </c>
      <c r="N46" s="18"/>
      <c r="O46" s="13" t="str">
        <f aca="true">IF(N46="",IF(TODAY()&gt;I46,"Overdue",IF(TODAY()&gt;=H46,"In progress","Not started")),IF(N46&lt;I46,"Complete - early",IF(N46=I46,"Complete - on time","Complete - late")))</f>
        <v>Not started</v>
      </c>
      <c r="P46" s="13"/>
      <c r="Q46" s="13"/>
      <c r="R46" s="13"/>
      <c r="S46" s="13"/>
      <c r="T46" s="13"/>
      <c r="U46" s="13"/>
      <c r="V46" s="13"/>
      <c r="W46" s="13"/>
      <c r="X46" s="13"/>
      <c r="Y46" s="13"/>
      <c r="Z46" s="13"/>
      <c r="AA46" s="13"/>
    </row>
    <row r="47" customFormat="false" ht="15" hidden="false" customHeight="false" outlineLevel="0" collapsed="false">
      <c r="A47" s="11" t="s">
        <v>164</v>
      </c>
      <c r="B47" s="11" t="s">
        <v>165</v>
      </c>
      <c r="C47" s="11" t="s">
        <v>133</v>
      </c>
      <c r="D47" s="12" t="n">
        <v>2</v>
      </c>
      <c r="E47" s="12" t="n">
        <v>3</v>
      </c>
      <c r="F47" s="13" t="s">
        <v>128</v>
      </c>
      <c r="G47" s="13" t="s">
        <v>166</v>
      </c>
      <c r="H47" s="14" t="n">
        <f aca="false">WORKDAY(MAX(I46),1,Holidays)</f>
        <v>46366</v>
      </c>
      <c r="I47" s="14" t="n">
        <f aca="false">WORKDAY(H47,E47-1,Holidays)</f>
        <v>46370</v>
      </c>
      <c r="J47" s="15" t="n">
        <f aca="false">D47*E47*HrsPerDay</f>
        <v>18</v>
      </c>
      <c r="K47" s="16" t="n">
        <v>0</v>
      </c>
      <c r="L47" s="16" t="n">
        <v>0</v>
      </c>
      <c r="M47" s="17" t="n">
        <f aca="false">K47+L47</f>
        <v>0</v>
      </c>
      <c r="N47" s="18"/>
      <c r="O47" s="13" t="str">
        <f aca="true">IF(N47="",IF(TODAY()&gt;I47,"Overdue",IF(TODAY()&gt;=H47,"In progress","Not started")),IF(N47&lt;I47,"Complete - early",IF(N47=I47,"Complete - on time","Complete - late")))</f>
        <v>Not started</v>
      </c>
      <c r="P47" s="13"/>
      <c r="Q47" s="13"/>
      <c r="R47" s="13"/>
      <c r="S47" s="13"/>
      <c r="T47" s="13"/>
      <c r="U47" s="13"/>
      <c r="V47" s="13"/>
      <c r="W47" s="13"/>
      <c r="X47" s="13"/>
      <c r="Y47" s="13"/>
      <c r="Z47" s="13"/>
      <c r="AA47" s="13"/>
    </row>
    <row r="48" customFormat="false" ht="15" hidden="false" customHeight="false" outlineLevel="0" collapsed="false">
      <c r="A48" s="11" t="s">
        <v>154</v>
      </c>
      <c r="B48" s="11" t="s">
        <v>167</v>
      </c>
      <c r="C48" s="11" t="s">
        <v>168</v>
      </c>
      <c r="D48" s="12" t="n">
        <v>3</v>
      </c>
      <c r="E48" s="12" t="n">
        <v>4</v>
      </c>
      <c r="F48" s="13" t="s">
        <v>169</v>
      </c>
      <c r="G48" s="13" t="s">
        <v>166</v>
      </c>
      <c r="H48" s="14" t="n">
        <f aca="false">WORKDAY(MAX(I46,I43),1,Holidays)</f>
        <v>46367</v>
      </c>
      <c r="I48" s="14" t="n">
        <f aca="false">WORKDAY(H48,E48-1,Holidays)</f>
        <v>46372</v>
      </c>
      <c r="J48" s="15" t="n">
        <f aca="false">D48*E48*HrsPerDay</f>
        <v>36</v>
      </c>
      <c r="K48" s="16" t="n">
        <v>0</v>
      </c>
      <c r="L48" s="16" t="n">
        <v>0</v>
      </c>
      <c r="M48" s="17" t="n">
        <f aca="false">K48+L48</f>
        <v>0</v>
      </c>
      <c r="N48" s="18"/>
      <c r="O48" s="13" t="str">
        <f aca="true">IF(N48="",IF(TODAY()&gt;I48,"Overdue",IF(TODAY()&gt;=H48,"In progress","Not started")),IF(N48&lt;I48,"Complete - early",IF(N48=I48,"Complete - on time","Complete - late")))</f>
        <v>Not started</v>
      </c>
      <c r="P48" s="13"/>
      <c r="Q48" s="13"/>
      <c r="R48" s="13"/>
      <c r="S48" s="13"/>
      <c r="T48" s="13"/>
      <c r="U48" s="13"/>
      <c r="V48" s="13"/>
      <c r="W48" s="13"/>
      <c r="X48" s="13"/>
      <c r="Y48" s="13"/>
      <c r="Z48" s="13"/>
      <c r="AA48" s="13"/>
    </row>
    <row r="49" customFormat="false" ht="15" hidden="false" customHeight="false" outlineLevel="0" collapsed="false">
      <c r="A49" s="11" t="s">
        <v>166</v>
      </c>
      <c r="B49" s="11" t="s">
        <v>170</v>
      </c>
      <c r="C49" s="11" t="s">
        <v>168</v>
      </c>
      <c r="D49" s="12" t="n">
        <v>3</v>
      </c>
      <c r="E49" s="12" t="n">
        <v>1</v>
      </c>
      <c r="F49" s="13" t="s">
        <v>163</v>
      </c>
      <c r="G49" s="13" t="s">
        <v>34</v>
      </c>
      <c r="H49" s="14" t="n">
        <f aca="false">WORKDAY(MAX(I47,I48),1,Holidays)</f>
        <v>46373</v>
      </c>
      <c r="I49" s="14" t="n">
        <f aca="false">WORKDAY(H49,E49-1,Holidays)</f>
        <v>46373</v>
      </c>
      <c r="J49" s="15" t="n">
        <f aca="false">D49*E49*HrsPerDay</f>
        <v>9</v>
      </c>
      <c r="K49" s="16" t="n">
        <v>0</v>
      </c>
      <c r="L49" s="16" t="n">
        <v>0</v>
      </c>
      <c r="M49" s="17" t="n">
        <f aca="false">K49+L49</f>
        <v>0</v>
      </c>
      <c r="N49" s="18"/>
      <c r="O49" s="13" t="str">
        <f aca="true">IF(N49="",IF(TODAY()&gt;I49,"Overdue",IF(TODAY()&gt;=H49,"In progress","Not started")),IF(N49&lt;I49,"Complete - early",IF(N49=I49,"Complete - on time","Complete - late")))</f>
        <v>Not started</v>
      </c>
      <c r="P49" s="13"/>
      <c r="Q49" s="13"/>
      <c r="R49" s="13"/>
      <c r="S49" s="13"/>
      <c r="T49" s="13"/>
      <c r="U49" s="13"/>
      <c r="V49" s="13"/>
      <c r="W49" s="13"/>
      <c r="X49" s="13"/>
      <c r="Y49" s="13"/>
      <c r="Z49" s="13"/>
      <c r="AA49" s="13"/>
    </row>
    <row r="50" customFormat="false" ht="15" hidden="false" customHeight="false" outlineLevel="0" collapsed="false">
      <c r="A50" s="6" t="s">
        <v>171</v>
      </c>
      <c r="B50" s="6" t="s">
        <v>172</v>
      </c>
      <c r="C50" s="6"/>
      <c r="D50" s="7"/>
      <c r="E50" s="7" t="n">
        <f aca="false">NETWORKDAYS(H50,I50,Holidays)</f>
        <v>48</v>
      </c>
      <c r="F50" s="7"/>
      <c r="G50" s="7"/>
      <c r="H50" s="8" t="n">
        <f aca="false">MIN(H51:H74)</f>
        <v>46307</v>
      </c>
      <c r="I50" s="8" t="n">
        <f aca="false">MAX(I51:I74)</f>
        <v>46374</v>
      </c>
      <c r="J50" s="9" t="n">
        <f aca="false">SUM(J51:J74)</f>
        <v>678</v>
      </c>
      <c r="K50" s="10" t="n">
        <f aca="false">SUM(K51:K74)</f>
        <v>0</v>
      </c>
      <c r="L50" s="10" t="n">
        <f aca="false">SUM(L51:L74)</f>
        <v>0</v>
      </c>
      <c r="M50" s="10" t="n">
        <f aca="false">SUM(M51:M74)</f>
        <v>0</v>
      </c>
      <c r="N50" s="8" t="str">
        <f aca="false">IF(COUNT(N51:N74)=ROWS(N51:N74),MAX(N51:N74),"")</f>
        <v/>
      </c>
      <c r="O50" s="7" t="str">
        <f aca="true">IF(N50="",IF(COUNT(N51:N74)&gt;0,"In progress",IF(TODAY()&gt;=H50,"In progress","Not started")),IF(N50&lt;I50,"Complete - early",IF(N50=I50,"Complete - on time","Complete - late")))</f>
        <v>In progress</v>
      </c>
      <c r="P50" s="7"/>
      <c r="Q50" s="7"/>
      <c r="R50" s="7"/>
      <c r="S50" s="7"/>
      <c r="T50" s="7"/>
      <c r="U50" s="7"/>
      <c r="V50" s="7"/>
      <c r="W50" s="7"/>
      <c r="X50" s="7"/>
      <c r="Y50" s="7"/>
      <c r="Z50" s="7"/>
      <c r="AA50" s="7"/>
    </row>
    <row r="51" customFormat="false" ht="23.85" hidden="false" customHeight="false" outlineLevel="0" collapsed="false">
      <c r="A51" s="11" t="s">
        <v>173</v>
      </c>
      <c r="B51" s="11" t="s">
        <v>174</v>
      </c>
      <c r="C51" s="11" t="s">
        <v>175</v>
      </c>
      <c r="D51" s="12" t="n">
        <v>2</v>
      </c>
      <c r="E51" s="12" t="n">
        <v>1</v>
      </c>
      <c r="F51" s="13" t="s">
        <v>34</v>
      </c>
      <c r="G51" s="13" t="s">
        <v>34</v>
      </c>
      <c r="H51" s="14" t="n">
        <f aca="false">WORKDAY(I51,-(E51-1),Holidays)</f>
        <v>46311</v>
      </c>
      <c r="I51" s="18" t="n">
        <v>46311</v>
      </c>
      <c r="J51" s="15" t="n">
        <f aca="false">D51*E51*HrsPerDay</f>
        <v>6</v>
      </c>
      <c r="K51" s="16" t="n">
        <v>0</v>
      </c>
      <c r="L51" s="16" t="n">
        <v>0</v>
      </c>
      <c r="M51" s="17" t="n">
        <f aca="false">K51+L51</f>
        <v>0</v>
      </c>
      <c r="N51" s="18"/>
      <c r="O51" s="13" t="str">
        <f aca="true">IF(N51="",IF(TODAY()&gt;I51,"Overdue",IF(TODAY()&gt;=H51,"In progress","Not started")),IF(N51&lt;I51,"Complete - early",IF(N51=I51,"Complete - on time","Complete - late")))</f>
        <v>Not started</v>
      </c>
      <c r="P51" s="13"/>
      <c r="Q51" s="13"/>
      <c r="R51" s="13"/>
      <c r="S51" s="13"/>
      <c r="T51" s="13"/>
      <c r="U51" s="13"/>
      <c r="V51" s="13"/>
      <c r="W51" s="13"/>
      <c r="X51" s="13"/>
      <c r="Y51" s="13"/>
      <c r="Z51" s="13"/>
      <c r="AA51" s="13"/>
    </row>
    <row r="52" customFormat="false" ht="23.85" hidden="false" customHeight="false" outlineLevel="0" collapsed="false">
      <c r="A52" s="11" t="s">
        <v>176</v>
      </c>
      <c r="B52" s="11" t="s">
        <v>177</v>
      </c>
      <c r="C52" s="11" t="s">
        <v>175</v>
      </c>
      <c r="D52" s="12" t="n">
        <v>4</v>
      </c>
      <c r="E52" s="12" t="n">
        <v>6</v>
      </c>
      <c r="F52" s="13" t="s">
        <v>34</v>
      </c>
      <c r="G52" s="13" t="s">
        <v>178</v>
      </c>
      <c r="H52" s="14" t="n">
        <f aca="false">WORKDAY(I52,-(E52-1),Holidays)</f>
        <v>46307</v>
      </c>
      <c r="I52" s="18" t="n">
        <v>46313</v>
      </c>
      <c r="J52" s="15" t="n">
        <f aca="false">D52*E52*HrsPerDay</f>
        <v>72</v>
      </c>
      <c r="K52" s="16" t="n">
        <v>0</v>
      </c>
      <c r="L52" s="16" t="n">
        <v>0</v>
      </c>
      <c r="M52" s="17" t="n">
        <f aca="false">K52+L52</f>
        <v>0</v>
      </c>
      <c r="N52" s="18"/>
      <c r="O52" s="13" t="str">
        <f aca="true">IF(N52="",IF(TODAY()&gt;I52,"Overdue",IF(TODAY()&gt;=H52,"In progress","Not started")),IF(N52&lt;I52,"Complete - early",IF(N52=I52,"Complete - on time","Complete - late")))</f>
        <v>In progress</v>
      </c>
      <c r="P52" s="13"/>
      <c r="Q52" s="13"/>
      <c r="R52" s="13"/>
      <c r="S52" s="13"/>
      <c r="T52" s="13"/>
      <c r="U52" s="13"/>
      <c r="V52" s="13"/>
      <c r="W52" s="13"/>
      <c r="X52" s="13"/>
      <c r="Y52" s="13"/>
      <c r="Z52" s="13"/>
      <c r="AA52" s="13"/>
    </row>
    <row r="53" customFormat="false" ht="23.85" hidden="false" customHeight="false" outlineLevel="0" collapsed="false">
      <c r="A53" s="11" t="s">
        <v>179</v>
      </c>
      <c r="B53" s="11" t="s">
        <v>180</v>
      </c>
      <c r="C53" s="11" t="s">
        <v>175</v>
      </c>
      <c r="D53" s="12" t="n">
        <v>3</v>
      </c>
      <c r="E53" s="12" t="n">
        <v>4</v>
      </c>
      <c r="F53" s="13" t="s">
        <v>34</v>
      </c>
      <c r="G53" s="13" t="s">
        <v>178</v>
      </c>
      <c r="H53" s="14" t="n">
        <f aca="false">WORKDAY(I53,-(E53-1),Holidays)</f>
        <v>46309</v>
      </c>
      <c r="I53" s="18" t="n">
        <v>46313</v>
      </c>
      <c r="J53" s="15" t="n">
        <f aca="false">D53*E53*HrsPerDay</f>
        <v>36</v>
      </c>
      <c r="K53" s="16" t="n">
        <v>0</v>
      </c>
      <c r="L53" s="16" t="n">
        <v>0</v>
      </c>
      <c r="M53" s="17" t="n">
        <f aca="false">K53+L53</f>
        <v>0</v>
      </c>
      <c r="N53" s="18"/>
      <c r="O53" s="13" t="str">
        <f aca="true">IF(N53="",IF(TODAY()&gt;I53,"Overdue",IF(TODAY()&gt;=H53,"In progress","Not started")),IF(N53&lt;I53,"Complete - early",IF(N53=I53,"Complete - on time","Complete - late")))</f>
        <v>In progress</v>
      </c>
      <c r="P53" s="13"/>
      <c r="Q53" s="13"/>
      <c r="R53" s="13"/>
      <c r="S53" s="13"/>
      <c r="T53" s="13"/>
      <c r="U53" s="13"/>
      <c r="V53" s="13"/>
      <c r="W53" s="13"/>
      <c r="X53" s="13"/>
      <c r="Y53" s="13"/>
      <c r="Z53" s="13"/>
      <c r="AA53" s="13"/>
    </row>
    <row r="54" customFormat="false" ht="23.85" hidden="false" customHeight="false" outlineLevel="0" collapsed="false">
      <c r="A54" s="11" t="s">
        <v>181</v>
      </c>
      <c r="B54" s="11" t="s">
        <v>182</v>
      </c>
      <c r="C54" s="11" t="s">
        <v>175</v>
      </c>
      <c r="D54" s="12" t="n">
        <v>2</v>
      </c>
      <c r="E54" s="12" t="n">
        <v>1</v>
      </c>
      <c r="F54" s="13" t="s">
        <v>34</v>
      </c>
      <c r="G54" s="13" t="s">
        <v>34</v>
      </c>
      <c r="H54" s="14" t="n">
        <f aca="false">WORKDAY(I54,-(E54-1),Holidays)</f>
        <v>46318</v>
      </c>
      <c r="I54" s="18" t="n">
        <v>46318</v>
      </c>
      <c r="J54" s="15" t="n">
        <f aca="false">D54*E54*HrsPerDay</f>
        <v>6</v>
      </c>
      <c r="K54" s="16" t="n">
        <v>0</v>
      </c>
      <c r="L54" s="16" t="n">
        <v>0</v>
      </c>
      <c r="M54" s="17" t="n">
        <f aca="false">K54+L54</f>
        <v>0</v>
      </c>
      <c r="N54" s="18"/>
      <c r="O54" s="13" t="str">
        <f aca="true">IF(N54="",IF(TODAY()&gt;I54,"Overdue",IF(TODAY()&gt;=H54,"In progress","Not started")),IF(N54&lt;I54,"Complete - early",IF(N54=I54,"Complete - on time","Complete - late")))</f>
        <v>Not started</v>
      </c>
      <c r="P54" s="13"/>
      <c r="Q54" s="13"/>
      <c r="R54" s="13"/>
      <c r="S54" s="13"/>
      <c r="T54" s="13"/>
      <c r="U54" s="13"/>
      <c r="V54" s="13"/>
      <c r="W54" s="13"/>
      <c r="X54" s="13"/>
      <c r="Y54" s="13"/>
      <c r="Z54" s="13"/>
      <c r="AA54" s="13"/>
    </row>
    <row r="55" customFormat="false" ht="23.85" hidden="false" customHeight="false" outlineLevel="0" collapsed="false">
      <c r="A55" s="11" t="s">
        <v>178</v>
      </c>
      <c r="B55" s="11" t="s">
        <v>183</v>
      </c>
      <c r="C55" s="11" t="s">
        <v>175</v>
      </c>
      <c r="D55" s="12" t="n">
        <v>4</v>
      </c>
      <c r="E55" s="12" t="n">
        <v>6</v>
      </c>
      <c r="F55" s="13" t="s">
        <v>184</v>
      </c>
      <c r="G55" s="13" t="s">
        <v>185</v>
      </c>
      <c r="H55" s="14" t="n">
        <f aca="false">WORKDAY(I55,-(E55-1),Holidays)</f>
        <v>46311</v>
      </c>
      <c r="I55" s="18" t="n">
        <v>46318</v>
      </c>
      <c r="J55" s="15" t="n">
        <f aca="false">D55*E55*HrsPerDay</f>
        <v>72</v>
      </c>
      <c r="K55" s="16" t="n">
        <v>0</v>
      </c>
      <c r="L55" s="16" t="n">
        <v>0</v>
      </c>
      <c r="M55" s="17" t="n">
        <f aca="false">K55+L55</f>
        <v>0</v>
      </c>
      <c r="N55" s="18"/>
      <c r="O55" s="13" t="str">
        <f aca="true">IF(N55="",IF(TODAY()&gt;I55,"Overdue",IF(TODAY()&gt;=H55,"In progress","Not started")),IF(N55&lt;I55,"Complete - early",IF(N55=I55,"Complete - on time","Complete - late")))</f>
        <v>Not started</v>
      </c>
      <c r="P55" s="13"/>
      <c r="Q55" s="13"/>
      <c r="R55" s="13"/>
      <c r="S55" s="13"/>
      <c r="T55" s="13"/>
      <c r="U55" s="13"/>
      <c r="V55" s="13"/>
      <c r="W55" s="13"/>
      <c r="X55" s="13"/>
      <c r="Y55" s="13"/>
      <c r="Z55" s="13"/>
      <c r="AA55" s="13"/>
    </row>
    <row r="56" customFormat="false" ht="23.85" hidden="false" customHeight="false" outlineLevel="0" collapsed="false">
      <c r="A56" s="11" t="s">
        <v>186</v>
      </c>
      <c r="B56" s="11" t="s">
        <v>187</v>
      </c>
      <c r="C56" s="11" t="s">
        <v>175</v>
      </c>
      <c r="D56" s="12" t="n">
        <v>4</v>
      </c>
      <c r="E56" s="12" t="n">
        <v>1</v>
      </c>
      <c r="F56" s="13" t="s">
        <v>34</v>
      </c>
      <c r="G56" s="13" t="s">
        <v>34</v>
      </c>
      <c r="H56" s="14" t="n">
        <f aca="false">WORKDAY(I56,-(E56-1),Holidays)</f>
        <v>46318</v>
      </c>
      <c r="I56" s="18" t="n">
        <v>46318</v>
      </c>
      <c r="J56" s="15" t="n">
        <f aca="false">D56*E56*HrsPerDay</f>
        <v>12</v>
      </c>
      <c r="K56" s="16" t="n">
        <v>0</v>
      </c>
      <c r="L56" s="16" t="n">
        <v>0</v>
      </c>
      <c r="M56" s="17" t="n">
        <f aca="false">K56+L56</f>
        <v>0</v>
      </c>
      <c r="N56" s="18"/>
      <c r="O56" s="13" t="str">
        <f aca="true">IF(N56="",IF(TODAY()&gt;I56,"Overdue",IF(TODAY()&gt;=H56,"In progress","Not started")),IF(N56&lt;I56,"Complete - early",IF(N56=I56,"Complete - on time","Complete - late")))</f>
        <v>Not started</v>
      </c>
      <c r="P56" s="13"/>
      <c r="Q56" s="13"/>
      <c r="R56" s="13"/>
      <c r="S56" s="13"/>
      <c r="T56" s="13"/>
      <c r="U56" s="13"/>
      <c r="V56" s="13"/>
      <c r="W56" s="13"/>
      <c r="X56" s="13"/>
      <c r="Y56" s="13"/>
      <c r="Z56" s="13"/>
      <c r="AA56" s="13"/>
    </row>
    <row r="57" customFormat="false" ht="23.85" hidden="false" customHeight="false" outlineLevel="0" collapsed="false">
      <c r="A57" s="11" t="s">
        <v>188</v>
      </c>
      <c r="B57" s="11" t="s">
        <v>189</v>
      </c>
      <c r="C57" s="11" t="s">
        <v>175</v>
      </c>
      <c r="D57" s="12" t="n">
        <v>2</v>
      </c>
      <c r="E57" s="12" t="n">
        <v>1</v>
      </c>
      <c r="F57" s="13" t="s">
        <v>34</v>
      </c>
      <c r="G57" s="13" t="s">
        <v>34</v>
      </c>
      <c r="H57" s="14" t="n">
        <f aca="false">WORKDAY(I57,-(E57-1),Holidays)</f>
        <v>46325</v>
      </c>
      <c r="I57" s="18" t="n">
        <v>46325</v>
      </c>
      <c r="J57" s="15" t="n">
        <f aca="false">D57*E57*HrsPerDay</f>
        <v>6</v>
      </c>
      <c r="K57" s="16" t="n">
        <v>0</v>
      </c>
      <c r="L57" s="16" t="n">
        <v>0</v>
      </c>
      <c r="M57" s="17" t="n">
        <f aca="false">K57+L57</f>
        <v>0</v>
      </c>
      <c r="N57" s="18"/>
      <c r="O57" s="13" t="str">
        <f aca="true">IF(N57="",IF(TODAY()&gt;I57,"Overdue",IF(TODAY()&gt;=H57,"In progress","Not started")),IF(N57&lt;I57,"Complete - early",IF(N57=I57,"Complete - on time","Complete - late")))</f>
        <v>Not started</v>
      </c>
      <c r="P57" s="13"/>
      <c r="Q57" s="13"/>
      <c r="R57" s="13"/>
      <c r="S57" s="13"/>
      <c r="T57" s="13"/>
      <c r="U57" s="13"/>
      <c r="V57" s="13"/>
      <c r="W57" s="13"/>
      <c r="X57" s="13"/>
      <c r="Y57" s="13"/>
      <c r="Z57" s="13"/>
      <c r="AA57" s="13"/>
    </row>
    <row r="58" customFormat="false" ht="23.85" hidden="false" customHeight="false" outlineLevel="0" collapsed="false">
      <c r="A58" s="11" t="s">
        <v>185</v>
      </c>
      <c r="B58" s="11" t="s">
        <v>190</v>
      </c>
      <c r="C58" s="11" t="s">
        <v>175</v>
      </c>
      <c r="D58" s="12" t="n">
        <v>4</v>
      </c>
      <c r="E58" s="12" t="n">
        <v>5</v>
      </c>
      <c r="F58" s="13" t="s">
        <v>178</v>
      </c>
      <c r="G58" s="13" t="s">
        <v>191</v>
      </c>
      <c r="H58" s="14" t="n">
        <f aca="false">WORKDAY(I58,-(E58-1),Holidays)</f>
        <v>46322</v>
      </c>
      <c r="I58" s="18" t="n">
        <v>46327</v>
      </c>
      <c r="J58" s="15" t="n">
        <f aca="false">D58*E58*HrsPerDay</f>
        <v>60</v>
      </c>
      <c r="K58" s="16" t="n">
        <v>0</v>
      </c>
      <c r="L58" s="16" t="n">
        <v>0</v>
      </c>
      <c r="M58" s="17" t="n">
        <f aca="false">K58+L58</f>
        <v>0</v>
      </c>
      <c r="N58" s="18"/>
      <c r="O58" s="13" t="str">
        <f aca="true">IF(N58="",IF(TODAY()&gt;I58,"Overdue",IF(TODAY()&gt;=H58,"In progress","Not started")),IF(N58&lt;I58,"Complete - early",IF(N58=I58,"Complete - on time","Complete - late")))</f>
        <v>Not started</v>
      </c>
      <c r="P58" s="13"/>
      <c r="Q58" s="13"/>
      <c r="R58" s="13"/>
      <c r="S58" s="13"/>
      <c r="T58" s="13"/>
      <c r="U58" s="13"/>
      <c r="V58" s="13"/>
      <c r="W58" s="13"/>
      <c r="X58" s="13"/>
      <c r="Y58" s="13"/>
      <c r="Z58" s="13"/>
      <c r="AA58" s="13"/>
    </row>
    <row r="59" customFormat="false" ht="23.85" hidden="false" customHeight="false" outlineLevel="0" collapsed="false">
      <c r="A59" s="11" t="s">
        <v>192</v>
      </c>
      <c r="B59" s="11" t="s">
        <v>193</v>
      </c>
      <c r="C59" s="11" t="s">
        <v>175</v>
      </c>
      <c r="D59" s="12" t="n">
        <v>2</v>
      </c>
      <c r="E59" s="12" t="n">
        <v>1</v>
      </c>
      <c r="F59" s="13" t="s">
        <v>34</v>
      </c>
      <c r="G59" s="13" t="s">
        <v>34</v>
      </c>
      <c r="H59" s="14" t="n">
        <f aca="false">WORKDAY(I59,-(E59-1),Holidays)</f>
        <v>46332</v>
      </c>
      <c r="I59" s="18" t="n">
        <v>46332</v>
      </c>
      <c r="J59" s="15" t="n">
        <f aca="false">D59*E59*HrsPerDay</f>
        <v>6</v>
      </c>
      <c r="K59" s="16" t="n">
        <v>0</v>
      </c>
      <c r="L59" s="16" t="n">
        <v>0</v>
      </c>
      <c r="M59" s="17" t="n">
        <f aca="false">K59+L59</f>
        <v>0</v>
      </c>
      <c r="N59" s="18"/>
      <c r="O59" s="13" t="str">
        <f aca="true">IF(N59="",IF(TODAY()&gt;I59,"Overdue",IF(TODAY()&gt;=H59,"In progress","Not started")),IF(N59&lt;I59,"Complete - early",IF(N59=I59,"Complete - on time","Complete - late")))</f>
        <v>Not started</v>
      </c>
      <c r="P59" s="13"/>
      <c r="Q59" s="13"/>
      <c r="R59" s="13"/>
      <c r="S59" s="13"/>
      <c r="T59" s="13"/>
      <c r="U59" s="13"/>
      <c r="V59" s="13"/>
      <c r="W59" s="13"/>
      <c r="X59" s="13"/>
      <c r="Y59" s="13"/>
      <c r="Z59" s="13"/>
      <c r="AA59" s="13"/>
    </row>
    <row r="60" customFormat="false" ht="23.85" hidden="false" customHeight="false" outlineLevel="0" collapsed="false">
      <c r="A60" s="11" t="s">
        <v>194</v>
      </c>
      <c r="B60" s="11" t="s">
        <v>195</v>
      </c>
      <c r="C60" s="11" t="s">
        <v>175</v>
      </c>
      <c r="D60" s="12" t="n">
        <v>1</v>
      </c>
      <c r="E60" s="12" t="n">
        <v>1</v>
      </c>
      <c r="F60" s="13" t="s">
        <v>34</v>
      </c>
      <c r="G60" s="13" t="s">
        <v>34</v>
      </c>
      <c r="H60" s="14" t="n">
        <f aca="false">WORKDAY(I60,-(E60-1),Holidays)</f>
        <v>46334</v>
      </c>
      <c r="I60" s="18" t="n">
        <v>46334</v>
      </c>
      <c r="J60" s="15" t="n">
        <f aca="false">D60*E60*HrsPerDay</f>
        <v>3</v>
      </c>
      <c r="K60" s="16" t="n">
        <v>0</v>
      </c>
      <c r="L60" s="16" t="n">
        <v>0</v>
      </c>
      <c r="M60" s="17" t="n">
        <f aca="false">K60+L60</f>
        <v>0</v>
      </c>
      <c r="N60" s="18"/>
      <c r="O60" s="13" t="str">
        <f aca="true">IF(N60="",IF(TODAY()&gt;I60,"Overdue",IF(TODAY()&gt;=H60,"In progress","Not started")),IF(N60&lt;I60,"Complete - early",IF(N60=I60,"Complete - on time","Complete - late")))</f>
        <v>Not started</v>
      </c>
      <c r="P60" s="13"/>
      <c r="Q60" s="13"/>
      <c r="R60" s="13"/>
      <c r="S60" s="13"/>
      <c r="T60" s="13"/>
      <c r="U60" s="13"/>
      <c r="V60" s="13"/>
      <c r="W60" s="13"/>
      <c r="X60" s="13"/>
      <c r="Y60" s="13"/>
      <c r="Z60" s="13"/>
      <c r="AA60" s="13"/>
    </row>
    <row r="61" customFormat="false" ht="23.85" hidden="false" customHeight="false" outlineLevel="0" collapsed="false">
      <c r="A61" s="11" t="s">
        <v>196</v>
      </c>
      <c r="B61" s="11" t="s">
        <v>197</v>
      </c>
      <c r="C61" s="11" t="s">
        <v>175</v>
      </c>
      <c r="D61" s="12" t="n">
        <v>2</v>
      </c>
      <c r="E61" s="12" t="n">
        <v>1</v>
      </c>
      <c r="F61" s="13" t="s">
        <v>34</v>
      </c>
      <c r="G61" s="13" t="s">
        <v>34</v>
      </c>
      <c r="H61" s="14" t="n">
        <f aca="false">WORKDAY(I61,-(E61-1),Holidays)</f>
        <v>46339</v>
      </c>
      <c r="I61" s="18" t="n">
        <v>46339</v>
      </c>
      <c r="J61" s="15" t="n">
        <f aca="false">D61*E61*HrsPerDay</f>
        <v>6</v>
      </c>
      <c r="K61" s="16" t="n">
        <v>0</v>
      </c>
      <c r="L61" s="16" t="n">
        <v>0</v>
      </c>
      <c r="M61" s="17" t="n">
        <f aca="false">K61+L61</f>
        <v>0</v>
      </c>
      <c r="N61" s="18"/>
      <c r="O61" s="13" t="str">
        <f aca="true">IF(N61="",IF(TODAY()&gt;I61,"Overdue",IF(TODAY()&gt;=H61,"In progress","Not started")),IF(N61&lt;I61,"Complete - early",IF(N61=I61,"Complete - on time","Complete - late")))</f>
        <v>Not started</v>
      </c>
      <c r="P61" s="13"/>
      <c r="Q61" s="13"/>
      <c r="R61" s="13"/>
      <c r="S61" s="13"/>
      <c r="T61" s="13"/>
      <c r="U61" s="13"/>
      <c r="V61" s="13"/>
      <c r="W61" s="13"/>
      <c r="X61" s="13"/>
      <c r="Y61" s="13"/>
      <c r="Z61" s="13"/>
      <c r="AA61" s="13"/>
    </row>
    <row r="62" customFormat="false" ht="23.85" hidden="false" customHeight="false" outlineLevel="0" collapsed="false">
      <c r="A62" s="11" t="s">
        <v>198</v>
      </c>
      <c r="B62" s="11" t="s">
        <v>199</v>
      </c>
      <c r="C62" s="11" t="s">
        <v>175</v>
      </c>
      <c r="D62" s="12" t="n">
        <v>2</v>
      </c>
      <c r="E62" s="12" t="n">
        <v>1</v>
      </c>
      <c r="F62" s="13" t="s">
        <v>34</v>
      </c>
      <c r="G62" s="13" t="s">
        <v>34</v>
      </c>
      <c r="H62" s="14" t="n">
        <f aca="false">WORKDAY(I62,-(E62-1),Holidays)</f>
        <v>46346</v>
      </c>
      <c r="I62" s="18" t="n">
        <v>46346</v>
      </c>
      <c r="J62" s="15" t="n">
        <f aca="false">D62*E62*HrsPerDay</f>
        <v>6</v>
      </c>
      <c r="K62" s="16" t="n">
        <v>0</v>
      </c>
      <c r="L62" s="16" t="n">
        <v>0</v>
      </c>
      <c r="M62" s="17" t="n">
        <f aca="false">K62+L62</f>
        <v>0</v>
      </c>
      <c r="N62" s="18"/>
      <c r="O62" s="13" t="str">
        <f aca="true">IF(N62="",IF(TODAY()&gt;I62,"Overdue",IF(TODAY()&gt;=H62,"In progress","Not started")),IF(N62&lt;I62,"Complete - early",IF(N62=I62,"Complete - on time","Complete - late")))</f>
        <v>Not started</v>
      </c>
      <c r="P62" s="13"/>
      <c r="Q62" s="13"/>
      <c r="R62" s="13"/>
      <c r="S62" s="13"/>
      <c r="T62" s="13"/>
      <c r="U62" s="13"/>
      <c r="V62" s="13"/>
      <c r="W62" s="13"/>
      <c r="X62" s="13"/>
      <c r="Y62" s="13"/>
      <c r="Z62" s="13"/>
      <c r="AA62" s="13"/>
    </row>
    <row r="63" customFormat="false" ht="23.85" hidden="false" customHeight="false" outlineLevel="0" collapsed="false">
      <c r="A63" s="11" t="s">
        <v>200</v>
      </c>
      <c r="B63" s="11" t="s">
        <v>201</v>
      </c>
      <c r="C63" s="11" t="s">
        <v>175</v>
      </c>
      <c r="D63" s="12" t="n">
        <v>4</v>
      </c>
      <c r="E63" s="12" t="n">
        <v>3</v>
      </c>
      <c r="F63" s="13" t="s">
        <v>34</v>
      </c>
      <c r="G63" s="13" t="s">
        <v>202</v>
      </c>
      <c r="H63" s="14" t="n">
        <f aca="false">WORKDAY(I63,-(E63-1),Holidays)</f>
        <v>46345</v>
      </c>
      <c r="I63" s="18" t="n">
        <v>46348</v>
      </c>
      <c r="J63" s="15" t="n">
        <f aca="false">D63*E63*HrsPerDay</f>
        <v>36</v>
      </c>
      <c r="K63" s="16" t="n">
        <v>0</v>
      </c>
      <c r="L63" s="16" t="n">
        <v>0</v>
      </c>
      <c r="M63" s="17" t="n">
        <f aca="false">K63+L63</f>
        <v>0</v>
      </c>
      <c r="N63" s="18"/>
      <c r="O63" s="13" t="str">
        <f aca="true">IF(N63="",IF(TODAY()&gt;I63,"Overdue",IF(TODAY()&gt;=H63,"In progress","Not started")),IF(N63&lt;I63,"Complete - early",IF(N63=I63,"Complete - on time","Complete - late")))</f>
        <v>Not started</v>
      </c>
      <c r="P63" s="13"/>
      <c r="Q63" s="13"/>
      <c r="R63" s="13"/>
      <c r="S63" s="13"/>
      <c r="T63" s="13"/>
      <c r="U63" s="13"/>
      <c r="V63" s="13"/>
      <c r="W63" s="13"/>
      <c r="X63" s="13"/>
      <c r="Y63" s="13"/>
      <c r="Z63" s="13"/>
      <c r="AA63" s="13"/>
    </row>
    <row r="64" customFormat="false" ht="23.85" hidden="false" customHeight="false" outlineLevel="0" collapsed="false">
      <c r="A64" s="11" t="s">
        <v>203</v>
      </c>
      <c r="B64" s="11" t="s">
        <v>204</v>
      </c>
      <c r="C64" s="11" t="s">
        <v>175</v>
      </c>
      <c r="D64" s="12" t="n">
        <v>2</v>
      </c>
      <c r="E64" s="12" t="n">
        <v>1</v>
      </c>
      <c r="F64" s="13" t="s">
        <v>34</v>
      </c>
      <c r="G64" s="13" t="s">
        <v>34</v>
      </c>
      <c r="H64" s="14" t="n">
        <f aca="false">WORKDAY(I64,-(E64-1),Holidays)</f>
        <v>46353</v>
      </c>
      <c r="I64" s="18" t="n">
        <v>46353</v>
      </c>
      <c r="J64" s="15" t="n">
        <f aca="false">D64*E64*HrsPerDay</f>
        <v>6</v>
      </c>
      <c r="K64" s="16" t="n">
        <v>0</v>
      </c>
      <c r="L64" s="16" t="n">
        <v>0</v>
      </c>
      <c r="M64" s="17" t="n">
        <f aca="false">K64+L64</f>
        <v>0</v>
      </c>
      <c r="N64" s="18"/>
      <c r="O64" s="13" t="str">
        <f aca="true">IF(N64="",IF(TODAY()&gt;I64,"Overdue",IF(TODAY()&gt;=H64,"In progress","Not started")),IF(N64&lt;I64,"Complete - early",IF(N64=I64,"Complete - on time","Complete - late")))</f>
        <v>Not started</v>
      </c>
      <c r="P64" s="13"/>
      <c r="Q64" s="13"/>
      <c r="R64" s="13"/>
      <c r="S64" s="13"/>
      <c r="T64" s="13"/>
      <c r="U64" s="13"/>
      <c r="V64" s="13"/>
      <c r="W64" s="13"/>
      <c r="X64" s="13"/>
      <c r="Y64" s="13"/>
      <c r="Z64" s="13"/>
      <c r="AA64" s="13"/>
    </row>
    <row r="65" customFormat="false" ht="23.85" hidden="false" customHeight="false" outlineLevel="0" collapsed="false">
      <c r="A65" s="11" t="s">
        <v>205</v>
      </c>
      <c r="B65" s="11" t="s">
        <v>206</v>
      </c>
      <c r="C65" s="11" t="s">
        <v>175</v>
      </c>
      <c r="D65" s="12" t="n">
        <v>2</v>
      </c>
      <c r="E65" s="12" t="n">
        <v>1</v>
      </c>
      <c r="F65" s="13" t="s">
        <v>34</v>
      </c>
      <c r="G65" s="13" t="s">
        <v>34</v>
      </c>
      <c r="H65" s="14" t="n">
        <f aca="false">WORKDAY(I65,-(E65-1),Holidays)</f>
        <v>46360</v>
      </c>
      <c r="I65" s="18" t="n">
        <v>46360</v>
      </c>
      <c r="J65" s="15" t="n">
        <f aca="false">D65*E65*HrsPerDay</f>
        <v>6</v>
      </c>
      <c r="K65" s="16" t="n">
        <v>0</v>
      </c>
      <c r="L65" s="16" t="n">
        <v>0</v>
      </c>
      <c r="M65" s="17" t="n">
        <f aca="false">K65+L65</f>
        <v>0</v>
      </c>
      <c r="N65" s="18"/>
      <c r="O65" s="13" t="str">
        <f aca="true">IF(N65="",IF(TODAY()&gt;I65,"Overdue",IF(TODAY()&gt;=H65,"In progress","Not started")),IF(N65&lt;I65,"Complete - early",IF(N65=I65,"Complete - on time","Complete - late")))</f>
        <v>Not started</v>
      </c>
      <c r="P65" s="13"/>
      <c r="Q65" s="13"/>
      <c r="R65" s="13"/>
      <c r="S65" s="13"/>
      <c r="T65" s="13"/>
      <c r="U65" s="13"/>
      <c r="V65" s="13"/>
      <c r="W65" s="13"/>
      <c r="X65" s="13"/>
      <c r="Y65" s="13"/>
      <c r="Z65" s="13"/>
      <c r="AA65" s="13"/>
    </row>
    <row r="66" customFormat="false" ht="23.85" hidden="false" customHeight="false" outlineLevel="0" collapsed="false">
      <c r="A66" s="11" t="s">
        <v>202</v>
      </c>
      <c r="B66" s="11" t="s">
        <v>207</v>
      </c>
      <c r="C66" s="11" t="s">
        <v>175</v>
      </c>
      <c r="D66" s="12" t="n">
        <v>4</v>
      </c>
      <c r="E66" s="12" t="n">
        <v>8</v>
      </c>
      <c r="F66" s="13" t="s">
        <v>208</v>
      </c>
      <c r="G66" s="13" t="s">
        <v>209</v>
      </c>
      <c r="H66" s="14" t="n">
        <f aca="false">WORKDAY(I66,-(E66-1),Holidays)</f>
        <v>46350</v>
      </c>
      <c r="I66" s="18" t="n">
        <v>46362</v>
      </c>
      <c r="J66" s="15" t="n">
        <f aca="false">D66*E66*HrsPerDay</f>
        <v>96</v>
      </c>
      <c r="K66" s="16" t="n">
        <v>0</v>
      </c>
      <c r="L66" s="16" t="n">
        <v>0</v>
      </c>
      <c r="M66" s="17" t="n">
        <f aca="false">K66+L66</f>
        <v>0</v>
      </c>
      <c r="N66" s="18"/>
      <c r="O66" s="13" t="str">
        <f aca="true">IF(N66="",IF(TODAY()&gt;I66,"Overdue",IF(TODAY()&gt;=H66,"In progress","Not started")),IF(N66&lt;I66,"Complete - early",IF(N66=I66,"Complete - on time","Complete - late")))</f>
        <v>Not started</v>
      </c>
      <c r="P66" s="13"/>
      <c r="Q66" s="13"/>
      <c r="R66" s="13"/>
      <c r="S66" s="13"/>
      <c r="T66" s="13"/>
      <c r="U66" s="13"/>
      <c r="V66" s="13"/>
      <c r="W66" s="13"/>
      <c r="X66" s="13"/>
      <c r="Y66" s="13"/>
      <c r="Z66" s="13"/>
      <c r="AA66" s="13"/>
    </row>
    <row r="67" customFormat="false" ht="23.85" hidden="false" customHeight="false" outlineLevel="0" collapsed="false">
      <c r="A67" s="11" t="s">
        <v>210</v>
      </c>
      <c r="B67" s="11" t="s">
        <v>211</v>
      </c>
      <c r="C67" s="11" t="s">
        <v>175</v>
      </c>
      <c r="D67" s="12" t="n">
        <v>1</v>
      </c>
      <c r="E67" s="12" t="n">
        <v>1</v>
      </c>
      <c r="F67" s="13" t="s">
        <v>34</v>
      </c>
      <c r="G67" s="13" t="s">
        <v>34</v>
      </c>
      <c r="H67" s="14" t="n">
        <f aca="false">WORKDAY(I67,-(E67-1),Holidays)</f>
        <v>46362</v>
      </c>
      <c r="I67" s="18" t="n">
        <v>46362</v>
      </c>
      <c r="J67" s="15" t="n">
        <f aca="false">D67*E67*HrsPerDay</f>
        <v>3</v>
      </c>
      <c r="K67" s="16" t="n">
        <v>0</v>
      </c>
      <c r="L67" s="16" t="n">
        <v>0</v>
      </c>
      <c r="M67" s="17" t="n">
        <f aca="false">K67+L67</f>
        <v>0</v>
      </c>
      <c r="N67" s="18"/>
      <c r="O67" s="13" t="str">
        <f aca="true">IF(N67="",IF(TODAY()&gt;I67,"Overdue",IF(TODAY()&gt;=H67,"In progress","Not started")),IF(N67&lt;I67,"Complete - early",IF(N67=I67,"Complete - on time","Complete - late")))</f>
        <v>Not started</v>
      </c>
      <c r="P67" s="13"/>
      <c r="Q67" s="13"/>
      <c r="R67" s="13"/>
      <c r="S67" s="13"/>
      <c r="T67" s="13"/>
      <c r="U67" s="13"/>
      <c r="V67" s="13"/>
      <c r="W67" s="13"/>
      <c r="X67" s="13"/>
      <c r="Y67" s="13"/>
      <c r="Z67" s="13"/>
      <c r="AA67" s="13"/>
    </row>
    <row r="68" customFormat="false" ht="23.85" hidden="false" customHeight="false" outlineLevel="0" collapsed="false">
      <c r="A68" s="11" t="s">
        <v>212</v>
      </c>
      <c r="B68" s="11" t="s">
        <v>213</v>
      </c>
      <c r="C68" s="11" t="s">
        <v>175</v>
      </c>
      <c r="D68" s="12" t="n">
        <v>2</v>
      </c>
      <c r="E68" s="12" t="n">
        <v>1</v>
      </c>
      <c r="F68" s="13" t="s">
        <v>34</v>
      </c>
      <c r="G68" s="13" t="s">
        <v>34</v>
      </c>
      <c r="H68" s="14" t="n">
        <f aca="false">WORKDAY(I68,-(E68-1),Holidays)</f>
        <v>46367</v>
      </c>
      <c r="I68" s="18" t="n">
        <v>46367</v>
      </c>
      <c r="J68" s="15" t="n">
        <f aca="false">D68*E68*HrsPerDay</f>
        <v>6</v>
      </c>
      <c r="K68" s="16" t="n">
        <v>0</v>
      </c>
      <c r="L68" s="16" t="n">
        <v>0</v>
      </c>
      <c r="M68" s="17" t="n">
        <f aca="false">K68+L68</f>
        <v>0</v>
      </c>
      <c r="N68" s="18"/>
      <c r="O68" s="13" t="str">
        <f aca="true">IF(N68="",IF(TODAY()&gt;I68,"Overdue",IF(TODAY()&gt;=H68,"In progress","Not started")),IF(N68&lt;I68,"Complete - early",IF(N68=I68,"Complete - on time","Complete - late")))</f>
        <v>Not started</v>
      </c>
      <c r="P68" s="13"/>
      <c r="Q68" s="13"/>
      <c r="R68" s="13"/>
      <c r="S68" s="13"/>
      <c r="T68" s="13"/>
      <c r="U68" s="13"/>
      <c r="V68" s="13"/>
      <c r="W68" s="13"/>
      <c r="X68" s="13"/>
      <c r="Y68" s="13"/>
      <c r="Z68" s="13"/>
      <c r="AA68" s="13"/>
    </row>
    <row r="69" customFormat="false" ht="23.85" hidden="false" customHeight="false" outlineLevel="0" collapsed="false">
      <c r="A69" s="11" t="s">
        <v>214</v>
      </c>
      <c r="B69" s="11" t="s">
        <v>215</v>
      </c>
      <c r="C69" s="11" t="s">
        <v>175</v>
      </c>
      <c r="D69" s="12" t="n">
        <v>4</v>
      </c>
      <c r="E69" s="12" t="n">
        <v>3</v>
      </c>
      <c r="F69" s="13" t="s">
        <v>202</v>
      </c>
      <c r="G69" s="13" t="s">
        <v>34</v>
      </c>
      <c r="H69" s="14" t="n">
        <f aca="false">WORKDAY(I69,-(E69-1),Holidays)</f>
        <v>46366</v>
      </c>
      <c r="I69" s="18" t="n">
        <v>46369</v>
      </c>
      <c r="J69" s="15" t="n">
        <f aca="false">D69*E69*HrsPerDay</f>
        <v>36</v>
      </c>
      <c r="K69" s="16" t="n">
        <v>0</v>
      </c>
      <c r="L69" s="16" t="n">
        <v>0</v>
      </c>
      <c r="M69" s="17" t="n">
        <f aca="false">K69+L69</f>
        <v>0</v>
      </c>
      <c r="N69" s="18"/>
      <c r="O69" s="13" t="str">
        <f aca="true">IF(N69="",IF(TODAY()&gt;I69,"Overdue",IF(TODAY()&gt;=H69,"In progress","Not started")),IF(N69&lt;I69,"Complete - early",IF(N69=I69,"Complete - on time","Complete - late")))</f>
        <v>Not started</v>
      </c>
      <c r="P69" s="13"/>
      <c r="Q69" s="13"/>
      <c r="R69" s="13"/>
      <c r="S69" s="13"/>
      <c r="T69" s="13"/>
      <c r="U69" s="13"/>
      <c r="V69" s="13"/>
      <c r="W69" s="13"/>
      <c r="X69" s="13"/>
      <c r="Y69" s="13"/>
      <c r="Z69" s="13"/>
      <c r="AA69" s="13"/>
    </row>
    <row r="70" customFormat="false" ht="23.85" hidden="false" customHeight="false" outlineLevel="0" collapsed="false">
      <c r="A70" s="11" t="s">
        <v>216</v>
      </c>
      <c r="B70" s="11" t="s">
        <v>217</v>
      </c>
      <c r="C70" s="11" t="s">
        <v>175</v>
      </c>
      <c r="D70" s="12" t="n">
        <v>2</v>
      </c>
      <c r="E70" s="12" t="n">
        <v>1</v>
      </c>
      <c r="F70" s="13" t="s">
        <v>34</v>
      </c>
      <c r="G70" s="13" t="s">
        <v>34</v>
      </c>
      <c r="H70" s="14" t="n">
        <f aca="false">WORKDAY(I70,-(E70-1),Holidays)</f>
        <v>46374</v>
      </c>
      <c r="I70" s="18" t="n">
        <v>46374</v>
      </c>
      <c r="J70" s="15" t="n">
        <f aca="false">D70*E70*HrsPerDay</f>
        <v>6</v>
      </c>
      <c r="K70" s="16" t="n">
        <v>0</v>
      </c>
      <c r="L70" s="16" t="n">
        <v>0</v>
      </c>
      <c r="M70" s="17" t="n">
        <f aca="false">K70+L70</f>
        <v>0</v>
      </c>
      <c r="N70" s="18"/>
      <c r="O70" s="13" t="str">
        <f aca="true">IF(N70="",IF(TODAY()&gt;I70,"Overdue",IF(TODAY()&gt;=H70,"In progress","Not started")),IF(N70&lt;I70,"Complete - early",IF(N70=I70,"Complete - on time","Complete - late")))</f>
        <v>Not started</v>
      </c>
      <c r="P70" s="13"/>
      <c r="Q70" s="13"/>
      <c r="R70" s="13"/>
      <c r="S70" s="13"/>
      <c r="T70" s="13"/>
      <c r="U70" s="13"/>
      <c r="V70" s="13"/>
      <c r="W70" s="13"/>
      <c r="X70" s="13"/>
      <c r="Y70" s="13"/>
      <c r="Z70" s="13"/>
      <c r="AA70" s="13"/>
    </row>
    <row r="71" customFormat="false" ht="23.85" hidden="false" customHeight="false" outlineLevel="0" collapsed="false">
      <c r="A71" s="11" t="s">
        <v>218</v>
      </c>
      <c r="B71" s="11" t="s">
        <v>219</v>
      </c>
      <c r="C71" s="11" t="s">
        <v>175</v>
      </c>
      <c r="D71" s="12" t="n">
        <v>4</v>
      </c>
      <c r="E71" s="12" t="n">
        <v>6</v>
      </c>
      <c r="F71" s="13" t="s">
        <v>202</v>
      </c>
      <c r="G71" s="13" t="s">
        <v>34</v>
      </c>
      <c r="H71" s="14" t="n">
        <f aca="false">WORKDAY(I71,-(E71-1),Holidays)</f>
        <v>46367</v>
      </c>
      <c r="I71" s="18" t="n">
        <v>46374</v>
      </c>
      <c r="J71" s="15" t="n">
        <f aca="false">D71*E71*HrsPerDay</f>
        <v>72</v>
      </c>
      <c r="K71" s="16" t="n">
        <v>0</v>
      </c>
      <c r="L71" s="16" t="n">
        <v>0</v>
      </c>
      <c r="M71" s="17" t="n">
        <f aca="false">K71+L71</f>
        <v>0</v>
      </c>
      <c r="N71" s="18"/>
      <c r="O71" s="13" t="str">
        <f aca="true">IF(N71="",IF(TODAY()&gt;I71,"Overdue",IF(TODAY()&gt;=H71,"In progress","Not started")),IF(N71&lt;I71,"Complete - early",IF(N71=I71,"Complete - on time","Complete - late")))</f>
        <v>Not started</v>
      </c>
      <c r="P71" s="13"/>
      <c r="Q71" s="13"/>
      <c r="R71" s="13"/>
      <c r="S71" s="13"/>
      <c r="T71" s="13"/>
      <c r="U71" s="13"/>
      <c r="V71" s="13"/>
      <c r="W71" s="13"/>
      <c r="X71" s="13"/>
      <c r="Y71" s="13"/>
      <c r="Z71" s="13"/>
      <c r="AA71" s="13"/>
    </row>
    <row r="72" customFormat="false" ht="23.85" hidden="false" customHeight="false" outlineLevel="0" collapsed="false">
      <c r="A72" s="11" t="s">
        <v>220</v>
      </c>
      <c r="B72" s="11" t="s">
        <v>221</v>
      </c>
      <c r="C72" s="11" t="s">
        <v>175</v>
      </c>
      <c r="D72" s="12" t="n">
        <v>4</v>
      </c>
      <c r="E72" s="12" t="n">
        <v>5</v>
      </c>
      <c r="F72" s="13" t="s">
        <v>185</v>
      </c>
      <c r="G72" s="13" t="s">
        <v>34</v>
      </c>
      <c r="H72" s="14" t="n">
        <f aca="false">WORKDAY(I72,-(E72-1),Holidays)</f>
        <v>46370</v>
      </c>
      <c r="I72" s="18" t="n">
        <v>46374</v>
      </c>
      <c r="J72" s="15" t="n">
        <f aca="false">D72*E72*HrsPerDay</f>
        <v>60</v>
      </c>
      <c r="K72" s="16" t="n">
        <v>0</v>
      </c>
      <c r="L72" s="16" t="n">
        <v>0</v>
      </c>
      <c r="M72" s="17" t="n">
        <f aca="false">K72+L72</f>
        <v>0</v>
      </c>
      <c r="N72" s="18"/>
      <c r="O72" s="13" t="str">
        <f aca="true">IF(N72="",IF(TODAY()&gt;I72,"Overdue",IF(TODAY()&gt;=H72,"In progress","Not started")),IF(N72&lt;I72,"Complete - early",IF(N72=I72,"Complete - on time","Complete - late")))</f>
        <v>Not started</v>
      </c>
      <c r="P72" s="13"/>
      <c r="Q72" s="13"/>
      <c r="R72" s="13"/>
      <c r="S72" s="13"/>
      <c r="T72" s="13"/>
      <c r="U72" s="13"/>
      <c r="V72" s="13"/>
      <c r="W72" s="13"/>
      <c r="X72" s="13"/>
      <c r="Y72" s="13"/>
      <c r="Z72" s="13"/>
      <c r="AA72" s="13"/>
    </row>
    <row r="73" customFormat="false" ht="23.85" hidden="false" customHeight="false" outlineLevel="0" collapsed="false">
      <c r="A73" s="11" t="s">
        <v>222</v>
      </c>
      <c r="B73" s="11" t="s">
        <v>223</v>
      </c>
      <c r="C73" s="11" t="s">
        <v>175</v>
      </c>
      <c r="D73" s="12" t="n">
        <v>4</v>
      </c>
      <c r="E73" s="12" t="n">
        <v>4</v>
      </c>
      <c r="F73" s="13" t="s">
        <v>202</v>
      </c>
      <c r="G73" s="13" t="s">
        <v>34</v>
      </c>
      <c r="H73" s="14" t="n">
        <f aca="false">WORKDAY(I73,-(E73-1),Holidays)</f>
        <v>46371</v>
      </c>
      <c r="I73" s="18" t="n">
        <v>46374</v>
      </c>
      <c r="J73" s="15" t="n">
        <f aca="false">D73*E73*HrsPerDay</f>
        <v>48</v>
      </c>
      <c r="K73" s="16" t="n">
        <v>0</v>
      </c>
      <c r="L73" s="16" t="n">
        <v>0</v>
      </c>
      <c r="M73" s="17" t="n">
        <f aca="false">K73+L73</f>
        <v>0</v>
      </c>
      <c r="N73" s="18"/>
      <c r="O73" s="13" t="str">
        <f aca="true">IF(N73="",IF(TODAY()&gt;I73,"Overdue",IF(TODAY()&gt;=H73,"In progress","Not started")),IF(N73&lt;I73,"Complete - early",IF(N73=I73,"Complete - on time","Complete - late")))</f>
        <v>Not started</v>
      </c>
      <c r="P73" s="13"/>
      <c r="Q73" s="13"/>
      <c r="R73" s="13"/>
      <c r="S73" s="13"/>
      <c r="T73" s="13"/>
      <c r="U73" s="13"/>
      <c r="V73" s="13"/>
      <c r="W73" s="13"/>
      <c r="X73" s="13"/>
      <c r="Y73" s="13"/>
      <c r="Z73" s="13"/>
      <c r="AA73" s="13"/>
    </row>
    <row r="74" customFormat="false" ht="23.85" hidden="false" customHeight="false" outlineLevel="0" collapsed="false">
      <c r="A74" s="11" t="s">
        <v>224</v>
      </c>
      <c r="B74" s="11" t="s">
        <v>225</v>
      </c>
      <c r="C74" s="11" t="s">
        <v>175</v>
      </c>
      <c r="D74" s="12" t="n">
        <v>4</v>
      </c>
      <c r="E74" s="12" t="n">
        <v>1</v>
      </c>
      <c r="F74" s="13" t="s">
        <v>34</v>
      </c>
      <c r="G74" s="13" t="s">
        <v>34</v>
      </c>
      <c r="H74" s="14" t="n">
        <f aca="false">WORKDAY(I74,-(E74-1),Holidays)</f>
        <v>46374</v>
      </c>
      <c r="I74" s="18" t="n">
        <v>46374</v>
      </c>
      <c r="J74" s="15" t="n">
        <f aca="false">D74*E74*HrsPerDay</f>
        <v>12</v>
      </c>
      <c r="K74" s="16" t="n">
        <v>0</v>
      </c>
      <c r="L74" s="16" t="n">
        <v>0</v>
      </c>
      <c r="M74" s="17" t="n">
        <f aca="false">K74+L74</f>
        <v>0</v>
      </c>
      <c r="N74" s="18"/>
      <c r="O74" s="13" t="str">
        <f aca="true">IF(N74="",IF(TODAY()&gt;I74,"Overdue",IF(TODAY()&gt;=H74,"In progress","Not started")),IF(N74&lt;I74,"Complete - early",IF(N74=I74,"Complete - on time","Complete - late")))</f>
        <v>Not started</v>
      </c>
      <c r="P74" s="13"/>
      <c r="Q74" s="13"/>
      <c r="R74" s="13"/>
      <c r="S74" s="13"/>
      <c r="T74" s="13"/>
      <c r="U74" s="13"/>
      <c r="V74" s="13"/>
      <c r="W74" s="13"/>
      <c r="X74" s="13"/>
      <c r="Y74" s="13"/>
      <c r="Z74" s="13"/>
      <c r="AA74" s="13"/>
    </row>
    <row r="75" customFormat="false" ht="15" hidden="false" customHeight="false" outlineLevel="0" collapsed="false">
      <c r="A75" s="20"/>
      <c r="B75" s="21" t="s">
        <v>226</v>
      </c>
      <c r="C75" s="20"/>
      <c r="D75" s="20"/>
      <c r="E75" s="20"/>
      <c r="F75" s="20"/>
      <c r="G75" s="20"/>
      <c r="H75" s="22" t="n">
        <f aca="false">MIN(H5,H12,H17,H23,H29,H35,H40,H44,H50)</f>
        <v>46293</v>
      </c>
      <c r="I75" s="22" t="n">
        <f aca="false">MAX(I5,I12,I17,I23,I29,I35,I40,I44,I50)</f>
        <v>46374</v>
      </c>
      <c r="J75" s="23" t="n">
        <f aca="false">J5+J12+J17+J23+J29+J35+J40+J44+J50</f>
        <v>1842</v>
      </c>
      <c r="K75" s="24" t="n">
        <f aca="false">K5+K12+K17+K23+K29+K35+K40+K44+K50</f>
        <v>261.84</v>
      </c>
      <c r="L75" s="25" t="n">
        <f aca="false">L5+L12+L17+L23+L29+L35+L40+L44+L50</f>
        <v>2624</v>
      </c>
      <c r="M75" s="25" t="n">
        <f aca="false">M5+M12+M17+M23+M29+M35+M40+M44+M50</f>
        <v>2885.84</v>
      </c>
      <c r="N75" s="20"/>
      <c r="O75" s="20"/>
      <c r="P75" s="20"/>
      <c r="Q75" s="20"/>
      <c r="R75" s="20"/>
      <c r="S75" s="20"/>
      <c r="T75" s="20"/>
      <c r="U75" s="20"/>
      <c r="V75" s="20"/>
      <c r="W75" s="20"/>
      <c r="X75" s="20"/>
      <c r="Y75" s="20"/>
      <c r="Z75" s="20"/>
      <c r="AA75" s="20"/>
    </row>
    <row r="77" customFormat="false" ht="15" hidden="false" customHeight="false" outlineLevel="0" collapsed="false">
      <c r="B77" s="26" t="s">
        <v>227</v>
      </c>
    </row>
    <row r="78" customFormat="false" ht="15" hidden="false" customHeight="false" outlineLevel="0" collapsed="false">
      <c r="B78" s="27" t="s">
        <v>228</v>
      </c>
      <c r="C78" s="28" t="n">
        <f aca="false">TeamBudget</f>
        <v>4000</v>
      </c>
    </row>
    <row r="79" customFormat="false" ht="15" hidden="false" customHeight="false" outlineLevel="0" collapsed="false">
      <c r="B79" s="27" t="s">
        <v>229</v>
      </c>
      <c r="C79" s="28" t="n">
        <f aca="false">K75</f>
        <v>261.84</v>
      </c>
    </row>
    <row r="80" customFormat="false" ht="15" hidden="false" customHeight="false" outlineLevel="0" collapsed="false">
      <c r="B80" s="27" t="s">
        <v>230</v>
      </c>
      <c r="C80" s="28" t="n">
        <f aca="false">C78-C79</f>
        <v>3738.16</v>
      </c>
    </row>
    <row r="81" customFormat="false" ht="23.85" hidden="false" customHeight="false" outlineLevel="0" collapsed="false">
      <c r="B81" s="27" t="s">
        <v>231</v>
      </c>
      <c r="C81" s="28" t="n">
        <f aca="false">L75</f>
        <v>2624</v>
      </c>
    </row>
    <row r="84" customFormat="false" ht="15" hidden="false" customHeight="false" outlineLevel="0" collapsed="false">
      <c r="B84" s="26" t="s">
        <v>232</v>
      </c>
    </row>
    <row r="85" customFormat="false" ht="15" hidden="false" customHeight="false" outlineLevel="0" collapsed="false">
      <c r="B85" s="29" t="s">
        <v>233</v>
      </c>
      <c r="C85" s="30" t="n">
        <f aca="false">TermEnd</f>
        <v>46376</v>
      </c>
    </row>
    <row r="86" customFormat="false" ht="15" hidden="false" customHeight="false" outlineLevel="0" collapsed="false">
      <c r="B86" s="29" t="s">
        <v>234</v>
      </c>
      <c r="C86" s="30" t="n">
        <f aca="false">I75</f>
        <v>46374</v>
      </c>
    </row>
    <row r="87" customFormat="false" ht="15" hidden="false" customHeight="false" outlineLevel="0" collapsed="false">
      <c r="B87" s="29" t="s">
        <v>235</v>
      </c>
      <c r="C87" s="31" t="n">
        <f aca="false">TermEnd-I75</f>
        <v>2</v>
      </c>
    </row>
    <row r="88" customFormat="false" ht="15" hidden="false" customHeight="false" outlineLevel="0" collapsed="false">
      <c r="B88" s="29" t="s">
        <v>236</v>
      </c>
      <c r="C88" s="32" t="str">
        <f aca="false">IF(I75&lt;=TermEnd,"On schedule: finishes before term end","Over: finishes after term end")</f>
        <v>On schedule: finishes before term end</v>
      </c>
    </row>
  </sheetData>
  <conditionalFormatting sqref="P5:AA74">
    <cfRule type="expression" priority="2" aboveAverage="0" equalAverage="0" bottom="0" percent="0" rank="0" text="" dxfId="0">
      <formula>AND(AND(P$4&lt;=$I5,P$4+6&gt;=$H5),LEFT($A5,1)="M")</formula>
    </cfRule>
    <cfRule type="expression" priority="3" aboveAverage="0" equalAverage="0" bottom="0" percent="0" rank="0" text="" dxfId="1">
      <formula>AND(AND(P$4&lt;=$I5,P$4+6&gt;=$H5),$N5&lt;&gt;"",$N5&gt;$I5)</formula>
    </cfRule>
    <cfRule type="expression" priority="4" aboveAverage="0" equalAverage="0" bottom="0" percent="0" rank="0" text="" dxfId="2">
      <formula>AND(AND(P$4&lt;=$I5,P$4+6&gt;=$H5),$N5&lt;&gt;"")</formula>
    </cfRule>
    <cfRule type="expression" priority="5" aboveAverage="0" equalAverage="0" bottom="0" percent="0" rank="0" text="" dxfId="3">
      <formula>AND(P$4&lt;=$I5,P$4+6&gt;=$H5)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3" min="3" style="0" width="70"/>
  </cols>
  <sheetData>
    <row r="1" customFormat="false" ht="17.35" hidden="false" customHeight="false" outlineLevel="0" collapsed="false">
      <c r="A1" s="33" t="s">
        <v>237</v>
      </c>
    </row>
    <row r="3" customFormat="false" ht="15" hidden="false" customHeight="false" outlineLevel="0" collapsed="false">
      <c r="A3" s="34" t="s">
        <v>238</v>
      </c>
      <c r="B3" s="34" t="s">
        <v>239</v>
      </c>
      <c r="C3" s="34" t="s">
        <v>240</v>
      </c>
    </row>
    <row r="4" customFormat="false" ht="30" hidden="false" customHeight="true" outlineLevel="0" collapsed="false">
      <c r="A4" s="29" t="s">
        <v>241</v>
      </c>
      <c r="B4" s="35" t="n">
        <v>46293</v>
      </c>
      <c r="C4" s="27" t="s">
        <v>242</v>
      </c>
    </row>
    <row r="5" customFormat="false" ht="30" hidden="false" customHeight="true" outlineLevel="0" collapsed="false">
      <c r="A5" s="29" t="s">
        <v>243</v>
      </c>
      <c r="B5" s="36" t="n">
        <v>3</v>
      </c>
      <c r="C5" s="27" t="s">
        <v>244</v>
      </c>
    </row>
    <row r="6" customFormat="false" ht="30" hidden="false" customHeight="true" outlineLevel="0" collapsed="false">
      <c r="A6" s="29" t="s">
        <v>245</v>
      </c>
      <c r="B6" s="37" t="n">
        <v>21.82</v>
      </c>
      <c r="C6" s="27" t="s">
        <v>246</v>
      </c>
    </row>
    <row r="7" customFormat="false" ht="30" hidden="false" customHeight="true" outlineLevel="0" collapsed="false">
      <c r="A7" s="29" t="s">
        <v>247</v>
      </c>
      <c r="B7" s="38" t="n">
        <v>4</v>
      </c>
      <c r="C7" s="27" t="s">
        <v>248</v>
      </c>
    </row>
    <row r="8" customFormat="false" ht="30" hidden="false" customHeight="true" outlineLevel="0" collapsed="false">
      <c r="A8" s="29" t="s">
        <v>249</v>
      </c>
      <c r="B8" s="38" t="n">
        <v>3</v>
      </c>
      <c r="C8" s="27" t="s">
        <v>250</v>
      </c>
    </row>
    <row r="9" customFormat="false" ht="30" hidden="false" customHeight="true" outlineLevel="0" collapsed="false">
      <c r="A9" s="29" t="s">
        <v>251</v>
      </c>
      <c r="B9" s="39" t="n">
        <v>4000</v>
      </c>
      <c r="C9" s="27" t="s">
        <v>252</v>
      </c>
    </row>
    <row r="10" customFormat="false" ht="30" hidden="false" customHeight="true" outlineLevel="0" collapsed="false">
      <c r="A10" s="29" t="s">
        <v>233</v>
      </c>
      <c r="B10" s="35" t="n">
        <v>46376</v>
      </c>
      <c r="C10" s="27" t="s">
        <v>253</v>
      </c>
    </row>
    <row r="12" customFormat="false" ht="15" hidden="false" customHeight="false" outlineLevel="0" collapsed="false">
      <c r="A12" s="26" t="s">
        <v>254</v>
      </c>
    </row>
    <row r="13" customFormat="false" ht="23.85" hidden="false" customHeight="false" outlineLevel="0" collapsed="false">
      <c r="A13" s="35" t="n">
        <v>46352</v>
      </c>
      <c r="B13" s="29" t="s">
        <v>255</v>
      </c>
      <c r="C13" s="27" t="s">
        <v>256</v>
      </c>
    </row>
    <row r="14" customFormat="false" ht="15" hidden="false" customHeight="false" outlineLevel="0" collapsed="false">
      <c r="A14" s="35" t="n">
        <v>46353</v>
      </c>
      <c r="B14" s="29" t="s">
        <v>257</v>
      </c>
    </row>
    <row r="22" customFormat="false" ht="15" hidden="false" customHeight="false" outlineLevel="0" collapsed="false">
      <c r="A22" s="26" t="s">
        <v>258</v>
      </c>
    </row>
    <row r="23" customFormat="false" ht="43.5" hidden="false" customHeight="true" outlineLevel="0" collapsed="false">
      <c r="A23" s="40" t="s">
        <v>259</v>
      </c>
      <c r="B23" s="40"/>
      <c r="C23" s="40"/>
    </row>
    <row r="24" customFormat="false" ht="43.5" hidden="false" customHeight="true" outlineLevel="0" collapsed="false">
      <c r="A24" s="40" t="s">
        <v>260</v>
      </c>
      <c r="B24" s="40"/>
      <c r="C24" s="40"/>
    </row>
    <row r="25" customFormat="false" ht="43.5" hidden="false" customHeight="true" outlineLevel="0" collapsed="false">
      <c r="A25" s="40" t="s">
        <v>261</v>
      </c>
      <c r="B25" s="40"/>
      <c r="C25" s="40"/>
    </row>
    <row r="26" customFormat="false" ht="43.5" hidden="false" customHeight="true" outlineLevel="0" collapsed="false">
      <c r="A26" s="40" t="s">
        <v>262</v>
      </c>
      <c r="B26" s="40"/>
      <c r="C26" s="40"/>
    </row>
    <row r="27" customFormat="false" ht="43.5" hidden="false" customHeight="true" outlineLevel="0" collapsed="false">
      <c r="A27" s="40" t="s">
        <v>263</v>
      </c>
      <c r="B27" s="40"/>
      <c r="C27" s="40"/>
    </row>
    <row r="28" customFormat="false" ht="43.5" hidden="false" customHeight="true" outlineLevel="0" collapsed="false">
      <c r="A28" s="40" t="s">
        <v>264</v>
      </c>
      <c r="B28" s="40"/>
      <c r="C28" s="40"/>
    </row>
    <row r="29" customFormat="false" ht="43.5" hidden="false" customHeight="true" outlineLevel="0" collapsed="false">
      <c r="A29" s="40" t="s">
        <v>265</v>
      </c>
      <c r="B29" s="40"/>
      <c r="C29" s="40"/>
    </row>
    <row r="30" customFormat="false" ht="43.5" hidden="false" customHeight="true" outlineLevel="0" collapsed="false">
      <c r="A30" s="40" t="s">
        <v>266</v>
      </c>
      <c r="B30" s="40"/>
      <c r="C30" s="40"/>
    </row>
    <row r="31" customFormat="false" ht="43.5" hidden="false" customHeight="true" outlineLevel="0" collapsed="false">
      <c r="A31" s="40" t="s">
        <v>267</v>
      </c>
      <c r="B31" s="40"/>
      <c r="C31" s="40"/>
    </row>
    <row r="32" customFormat="false" ht="43.5" hidden="false" customHeight="true" outlineLevel="0" collapsed="false">
      <c r="A32" s="40" t="s">
        <v>268</v>
      </c>
      <c r="B32" s="40"/>
      <c r="C32" s="40"/>
    </row>
    <row r="33" customFormat="false" ht="15" hidden="false" customHeight="false" outlineLevel="0" collapsed="false">
      <c r="A33" s="26" t="s">
        <v>269</v>
      </c>
    </row>
    <row r="34" customFormat="false" ht="43.5" hidden="false" customHeight="true" outlineLevel="0" collapsed="false">
      <c r="A34" s="40" t="s">
        <v>270</v>
      </c>
      <c r="B34" s="40"/>
      <c r="C34" s="40"/>
    </row>
    <row r="35" customFormat="false" ht="43.5" hidden="false" customHeight="true" outlineLevel="0" collapsed="false">
      <c r="A35" s="40" t="s">
        <v>271</v>
      </c>
      <c r="B35" s="40"/>
      <c r="C35" s="40"/>
    </row>
    <row r="36" customFormat="false" ht="43.5" hidden="false" customHeight="true" outlineLevel="0" collapsed="false">
      <c r="A36" s="40" t="s">
        <v>272</v>
      </c>
      <c r="B36" s="40"/>
      <c r="C36" s="40"/>
    </row>
  </sheetData>
  <mergeCells count="13">
    <mergeCell ref="A23:C23"/>
    <mergeCell ref="A24:C24"/>
    <mergeCell ref="A25:C25"/>
    <mergeCell ref="A26:C26"/>
    <mergeCell ref="A27:C27"/>
    <mergeCell ref="A28:C28"/>
    <mergeCell ref="A29:C29"/>
    <mergeCell ref="A30:C30"/>
    <mergeCell ref="A31:C31"/>
    <mergeCell ref="A32:C32"/>
    <mergeCell ref="A34:C34"/>
    <mergeCell ref="A35:C35"/>
    <mergeCell ref="A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2026-10-14T02:43:04Z</dcterms:created>
  <dc:creator>openpyxl</dc:creator>
  <dc:description/>
  <dc:language>en-US</dc:language>
  <cp:lastModifiedBy/>
  <dcterms:modified xsi:type="dcterms:W3CDTF">2026-10-14T02:43:04Z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