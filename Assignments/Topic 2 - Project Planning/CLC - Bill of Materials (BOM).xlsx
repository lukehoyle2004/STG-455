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ygcuedu6961-my.sharepoint.com/personal/lhoyle3_my_gcu_edu/Documents/Desktop/STG-455/"/>
    </mc:Choice>
  </mc:AlternateContent>
  <xr:revisionPtr revIDLastSave="0" documentId="11_9F744954134B068F680934B4595DCE3A37C09B45" xr6:coauthVersionLast="47" xr6:coauthVersionMax="47" xr10:uidLastSave="{00000000-0000-0000-0000-000000000000}"/>
  <bookViews>
    <workbookView xWindow="2340" yWindow="2340" windowWidth="21600" windowHeight="11175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29" i="1" s="1"/>
  <c r="F26" i="1"/>
  <c r="F25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<sst xmlns="http://schemas.openxmlformats.org/spreadsheetml/2006/main" count="125" uniqueCount="106">
  <si>
    <t>ID</t>
  </si>
  <si>
    <t>Task</t>
  </si>
  <si>
    <t>Materials Needed</t>
  </si>
  <si>
    <t>Quantity</t>
  </si>
  <si>
    <t>Cost per item</t>
  </si>
  <si>
    <t>Total Cost</t>
  </si>
  <si>
    <t>Time to Acquire (ie: lead time)</t>
  </si>
  <si>
    <t>Vendor Name</t>
  </si>
  <si>
    <t>Vendor Contact Information (address, phone, website)</t>
  </si>
  <si>
    <t>All deliverables</t>
  </si>
  <si>
    <t>Claude Pro subscription: AI assistant used by each team member for code review, test generation, debugging, and project documentation.
Part #/SKU: Claude Pro - individual monthly plan (online subscription; no SKU)
Unit: license-month | License: Commercial subscription (per user)
Pricing: $20.00/user/month + 9.1% Phoenix sales tax = $21.82 per license-month. 4 users x 7 months | Renewal: Renews monthly per seat; Oct 2026 - Apr 2027; cancel after final demo (04/23/2027)
Funding: Team purchase (counts against team budget) - pending GCU approval
Notes: Used in line with the partner NDA (no partner source code, credentials, or production data shared without partner approval). Pricing: https://claude.com/pricing</t>
  </si>
  <si>
    <t>Immediate once the GCU technology order is approved; each seat activates the same day</t>
  </si>
  <si>
    <t>Anthropic</t>
  </si>
  <si>
    <t>Anthropic PBC
548 Market St PMB 90375, San Francisco, CA 94104
Support: https://support.claude.com
Sales: https://www.anthropic.com/contact-sales</t>
  </si>
  <si>
    <t>Del. 2-3: Signed iOS builds; App Store / TestFlight</t>
  </si>
  <si>
    <t>Apple Developer Program membership: Required to code-sign iOS builds and to publish through App Store Connect and TestFlight.
Part #/SKU: Apple Developer Program - Organization membership (annual)
Unit: annual membership | License: Commercial membership
Pricing: $99 per year | Renewal: Renews annually on the partner's enrollment date
Funding: Paid by Studio XE (does not count against team budget)
Notes: https://developer.apple.com/programs/ ; https://developer.apple.com/support/enrollment/</t>
  </si>
  <si>
    <t>Partner account: 1-2 business days to add team members (App Manager role). New organization enrollment: about 1-2 weeks (D-U-N-S verification)</t>
  </si>
  <si>
    <t>Apple Inc.</t>
  </si>
  <si>
    <t>Apple Inc.
One Apple Park Way, Cupertino, CA 95014
Developer Support: 1-800-633-2152
https://developer.apple.com/contact/</t>
  </si>
  <si>
    <t>Del. 2-3: Android release; Google Play distribution</t>
  </si>
  <si>
    <t>Google Play Console developer account: Publishes the Android app and manages Google Play testing tracks.
Part #/SKU: Google Play Console developer registration (one-time)
Unit: account | License: Commercial registration
Pricing: $25 one-time fee | Renewal: No renewal (lifetime registration)
Funding: Paid by Studio XE (does not count against team budget)
Notes: https://play.google.com/console/about/ ; https://support.google.com/googleplay/android-developer/answer/6112435</t>
  </si>
  <si>
    <t>Partner account: about 1 business day to invite users. New account identity verification: several days</t>
  </si>
  <si>
    <t>Google LLC</t>
  </si>
  <si>
    <t>Google LLC
1600 Amphitheatre Pkwy, Mountain View, CA 94043
Play Console Help: https://support.google.com/googleplay/android-developer/contact</t>
  </si>
  <si>
    <t>Del. 3: TestFlight acceptance</t>
  </si>
  <si>
    <t>Apple TestFlight (App Store Connect): Distributes iOS beta builds to internal and external testers.
Part #/SKU: Included with Apple Developer Program (no separate SKU)
Unit: service | License: Included service
Pricing: $0 (included with item 2) | Renewal: Each build expires 90 days after upload
Funding: Included with item 2
Notes: The team will submit a minimal build within the first 6 weeks so review delays show up early. https://developer.apple.com/testflight/</t>
  </si>
  <si>
    <t>Internal testers: minutes to hours after a build processes. First external build: Beta App Review, typically 24-48 hours</t>
  </si>
  <si>
    <t>Del. 3: Google Play internal testing acceptance</t>
  </si>
  <si>
    <t>Google Play internal testing track: Distributes Android builds to up to 100 internal testers.
Part #/SKU: Included with Google Play Console (no separate SKU)
Unit: service | License: Included service
Pricing: $0 (included with item 3) | Renewal: N/A
Funding: Included with item 3
Notes: https://support.google.com/googleplay/android-developer/answer/9845334</t>
  </si>
  <si>
    <t>Usually available within hours. The first review of a new app can take up to 7 days</t>
  </si>
  <si>
    <t>Del. 2: One-command build-and-submit pipeline</t>
  </si>
  <si>
    <t>Expo Application Services (EAS) Build &amp; Submit: Cloud service that builds and signs iOS/Android binaries and submits them to the App Store and Google Play.
Part #/SKU: Partner's Expo organization plan (EAS Starter list SKU: $19/month)
Unit: organization account | License: Commercial subscription
Pricing: $0 to project (partner's existing plan). List price: Free tier, or Starter $19/month + usage | Renewal: Monthly, on the partner's plan
Funding: Provided by Studio XE (existing partner account)
Notes: Free tier: 15 iOS + 15 Android low-priority builds per month. Starter: $45 build credit and a priority queue. https://expo.dev/pricing</t>
  </si>
  <si>
    <t>1-2 business days to join the partner's Expo organization</t>
  </si>
  <si>
    <t>Expo (650 Industries, Inc.)</t>
  </si>
  <si>
    <t>650 Industries, Inc. (Expo)
Contact/Sales: https://expo.dev/contact
Docs &amp; support: https://docs.expo.dev</t>
  </si>
  <si>
    <t>Del. 1 &amp; 8: Crash/error reporting; 99.5% crash-free sessions</t>
  </si>
  <si>
    <t>Crash and error reporting service (Sentry): Captures crashes and errors from development, preview, and production builds and reports the crash-free session rate.
Part #/SKU: Partner's Sentry organization (Team plan list SKU: $26/month)
Unit: organization account | License: Commercial subscription
Pricing: $0 to project (partner's existing account). List price: free Developer tier, or Team $26/month | Renewal: Monthly, on the partner's plan
Funding: Provided by Studio XE (existing partner account)
Notes: PII scrubbing will be enabled because customers are in healthcare, finance, and legal. Team plan includes 50K errors/month. https://sentry.io/pricing/</t>
  </si>
  <si>
    <t>Immediate on signup; about 1 business day to join the partner org</t>
  </si>
  <si>
    <t>Sentry (Functional Software, Inc.)</t>
  </si>
  <si>
    <t>Functional Software, Inc. (Sentry)
45 Fremont St, 8th Floor, San Francisco, CA 94105
sales@sentry.io
https://sentry.io/support/</t>
  </si>
  <si>
    <t>Del. 4: 19-screen smoke test in CI</t>
  </si>
  <si>
    <t>GitHub Actions CI (hosted runners): Runs the automated smoke test, lint, and unit tests on every pull request.
Part #/SKU: GitHub Actions hosted runners on the partner's repository (macOS 3/4-core, per-minute)
Unit: CI service | License: Commercial, usage-based
Pricing: $0 to project (billed to the partner's GitHub org). List price: macOS $0.062/min; Linux minutes included | Renewal: Billed monthly on usage
Funding: Provided by Studio XE (existing partner account)
Notes: macOS minutes count 10x against the included free quota. https://docs.github.com/en/billing/reference/actions-runner-pricing</t>
  </si>
  <si>
    <t>1-2 business days to enable Actions and add signing secrets on the partner repository</t>
  </si>
  <si>
    <t>GitHub, Inc.</t>
  </si>
  <si>
    <t>GitHub, Inc.
88 Colin P Kelly Jr St, San Francisco, CA 94107
Support: https://support.github.com
Sales: https://github.com/enterprise/contact</t>
  </si>
  <si>
    <t>All deliverables: source control and code review</t>
  </si>
  <si>
    <t>Studio XE source repositories (GitHub): Access to the Studio XE mobile and web code for branches and reviewed pull requests.
Part #/SKU: Partner GitHub organization seats (no SKU)
Unit: user seat | License: Proprietary (partner-owned, under NDA)
Pricing: $0 (partner-provided) | Renewal: Access ends at project close (04/2027)
Funding: Provided by Studio XE
Notes: Requested at kickoff; the team lead tracks open access requests weekly (charter Resource Acquisition Plan)</t>
  </si>
  <si>
    <t>1-3 business days after the NDA (partner sends invites)</t>
  </si>
  <si>
    <t>Studio XE / Community HDP</t>
  </si>
  <si>
    <t>Studio XE / Community HDP
David Lutz, Project Sponsor
david.lutz@communityhdp.com</t>
  </si>
  <si>
    <t>Del. 4-7: Testing with non-production data</t>
  </si>
  <si>
    <t>Non-production (staging) backend and test accounts: Staging API with test users and test data. The charter does not allow production data.
Part #/SKU: Partner staging environment (no SKU)
Unit: environment | License: Proprietary (partner-owned, under NDA)
Pricing: $0 (partner-provided) | Renewal: Access ends at project close (04/2027)
Funding: Provided by Studio XE
Notes: Crash reports and logs must not capture personal, financial, or health information (charter constraint)</t>
  </si>
  <si>
    <t>1-5 business days after the NDA</t>
  </si>
  <si>
    <t>Del. 5 &amp; 9: Physical-device testing and live demo (iOS)</t>
  </si>
  <si>
    <t>Developer test phone - iPhone: Physical iOS device for the OS support matrix, TestFlight testing, and the final live demonstration.
Part #/SKU: Apple iPhone 18 Pro, base storage, unlocked (current model, released 09/2026)
Unit: device | License: Hardware purchase (project-owned asset)
Pricing: One-time; $1,199 list + 9.1% sales tax, about $1,250 | Renewal: 1-year Apple limited warranty
Funding: Paid by Studio XE (does not count against team budget)
Notes: Part of the $2,500 for 2 developer phones in the partner agreement. Older iOS versions in the matrix will be covered by team members' phones and the iOS Simulator (iPhones cannot be downgraded). https://www.apple.com/iphone/</t>
  </si>
  <si>
    <t>Same day in an Apple Store, or 1-3 business days shipped after purchase approval</t>
  </si>
  <si>
    <t>Apple Inc.
One Apple Park Way, Cupertino, CA 95014
Apple Business Team: 1-800-854-3680
https://www.apple.com/retail/business/</t>
  </si>
  <si>
    <t>Del. 5 &amp; 9: Physical-device testing and live demo (Android)</t>
  </si>
  <si>
    <t>Developer test phone - Google Pixel: Physical Android device for the OS support matrix, Play internal testing, and the final live demonstration.
Part #/SKU: Google Pixel 11 Pro, base storage, unlocked (current model, released 08/2026)
Unit: device | License: Hardware purchase (project-owned asset)
Pricing: One-time; $1,099 list + tax and accessories, about $1,250 | Renewal: 1-year Google limited warranty
Funding: Paid by Studio XE (does not count against team budget)
Notes: Part of the $2,500 for 2 developer phones in the partner agreement. Pixels can be flashed to older Android versions for matrix testing: https://developers.google.com/android/images</t>
  </si>
  <si>
    <t>1-3 business days shipped after purchase approval</t>
  </si>
  <si>
    <t>Google LLC
1600 Amphitheatre Pkwy, Mountain View, CA 94043
Google Store Support: 1-855-836-3987
https://store.google.com</t>
  </si>
  <si>
    <t>All deliverables: app framework</t>
  </si>
  <si>
    <t>Expo SDK + Expo Router: Application framework and file-based navigation for the 19-screen app.
Part #/SKU: npm: expo, expo-router (latest stable: Expo SDK 57)
Unit: developer install | License: Open source (MIT)
Pricing: Free | Renewal: Expo releases about 3 SDK versions a year
Funding: Free / open source
Notes: SDK 57 targets React Native 0.86 and needs Node 22.13+. Match the SDK version pinned in the partner's package.json; upgrades go through change control. https://docs.expo.dev/versions/latest/</t>
  </si>
  <si>
    <t>Immediate (npm install)</t>
  </si>
  <si>
    <t>All deliverables: UI runtime and language</t>
  </si>
  <si>
    <t>React Native + TypeScript: Cross-platform mobile UI runtime and the typed language the app is written in.
Part #/SKU: npm: react-native (0.86 with SDK 57), typescript
Unit: developer install | License: Open source (MIT / Apache 2.0)
Pricing: Free | Renewal: N/A
Funding: Free / open source
Notes: The React Native version is set by the Expo SDK and is not upgraded separately. https://reactnative.dev/docs/getting-started</t>
  </si>
  <si>
    <t>Meta Open Source / Microsoft</t>
  </si>
  <si>
    <t>Meta Open Source (React Native)
1 Hacker Way, Menlo Park, CA 94025
https://reactnative.dev
Issues: https://github.com/facebook/react-native/issues</t>
  </si>
  <si>
    <t>Del. 1: Crash reporting SDK</t>
  </si>
  <si>
    <t>Sentry React Native SDK: Library that captures native and JavaScript crashes and uploads source maps during EAS builds.
Part #/SKU: npm: @sentry/react-native
Unit: developer install | License: Open source (MIT)
Pricing: Free (service covered by item 7) | Renewal: N/A
Funding: Free / open source
Notes: Requires the Expo config plugin and source-map upload in EAS Build. https://docs.sentry.io/platforms/react-native/manual-setup/expo/</t>
  </si>
  <si>
    <t>Immediate (npx expo install)</t>
  </si>
  <si>
    <t>Del. 4: Automated 19-screen smoke test</t>
  </si>
  <si>
    <t>Maestro CLI: Mobile UI test runner that drives the app through YAML test flows locally and in CI.
Part #/SKU: Maestro CLI v2.8.0 (latest stable, 07/2026)
Unit: developer install | License: Open source (Apache 2.0)
Pricing: Free (Maestro Cloud optional, not budgeted) | Renewal: N/A
Funding: Free / open source
Notes: Requires Java 17+. Stable testIDs will be used to reduce flaky tests (charter risk). https://docs.maestro.dev/getting-started/installing-maestro</t>
  </si>
  <si>
    <t>Immediate (install script / Homebrew)</t>
  </si>
  <si>
    <t>mobile.dev, Inc.</t>
  </si>
  <si>
    <t>mobile.dev, Inc. (Maestro)
https://maestro.dev
Issues: https://github.com/mobile-dev-inc/maestro/issues</t>
  </si>
  <si>
    <t>Del. 4 &amp; 6-7: Unit and component tests</t>
  </si>
  <si>
    <t>Jest + React Native Testing Library: Unit and component tests for shared components and offline/conflict-resolution logic.
Part #/SKU: npm: jest, jest-expo, @testing-library/react-native
Unit: developer install | License: Open source (MIT)
Pricing: Free | Renewal: N/A
Funding: Free / open source
Notes: The jest-expo preset version must match the Expo SDK. https://docs.expo.dev/develop/unit-testing/</t>
  </si>
  <si>
    <t>OpenJS Foundation / Callstack</t>
  </si>
  <si>
    <t>OpenJS Foundation (Node.js, Jest)
https://openjsf.org
https://nodejs.org | https://jestjs.io</t>
  </si>
  <si>
    <t>All deliverables: JavaScript runtime and CLIs</t>
  </si>
  <si>
    <t>Node.js LTS + npm + EAS CLI: Runs the Expo CLI, EAS CLI, and test tooling on developer machines and CI.
Part #/SKU: Node.js 24 LTS 'Krypton'; npm: eas-cli
Unit: developer install | License: Open source (MIT)
Pricing: Free | Renewal: Node 24 LTS supported until 04/2028; Node 26 becomes LTS 10/2026
Funding: Free / open source
Notes: Expo SDK 57 needs Node 22.13 or newer. https://nodejs.org/en/about/previous-releases</t>
  </si>
  <si>
    <t>Immediate (download)</t>
  </si>
  <si>
    <t>OpenJS Foundation / Expo</t>
  </si>
  <si>
    <t>All deliverables: code editor</t>
  </si>
  <si>
    <t>Visual Studio Code: Code editor with TypeScript, ESLint, and Expo extensions.
Part #/SKU: Visual Studio Code (stable channel)
Unit: developer install | License: Free (Microsoft license; MIT source)
Pricing: Free | Renewal: Auto-updates monthly
Funding: Free / open source
Notes: https://code.visualstudio.com/docs</t>
  </si>
  <si>
    <t>Microsoft Corp.</t>
  </si>
  <si>
    <t>Microsoft Corp.
One Microsoft Way, Redmond, WA 98052
1-800-642-7676
https://code.visualstudio.com</t>
  </si>
  <si>
    <t>Del. 5: Android emulators and debugging</t>
  </si>
  <si>
    <t>Android Studio + Android Emulator: Runs each Android version in the support matrix as an emulator and debugs builds.
Part #/SKU: Android Studio (current stable release)
Unit: developer install | License: Free (Android SDK License)
Pricing: Free | Renewal: N/A
Funding: Free / open source
Notes: 16 GB RAM recommended. Install a system image for each OS version in the matrix. https://developer.android.com/studio/install</t>
  </si>
  <si>
    <t>Same day (download and SDK setup take about 1-2 hours)</t>
  </si>
  <si>
    <t>Google LLC
1600 Amphitheatre Pkwy, Mountain View, CA 94043
https://developer.android.com/studio
Issue tracker: https://issuetracker.google.com</t>
  </si>
  <si>
    <t>Del. 5: iOS simulator and debugging</t>
  </si>
  <si>
    <t>Xcode + iOS Simulator: Runs each iOS version in the support matrix in the simulator and debugs builds (macOS only).
Part #/SKU: Xcode (current release, Mac App Store)
Unit: Mac install | License: Free (Apple license)
Pricing: Free | Renewal: N/A
Funding: Free / open source
Notes: Needs at least one team Mac. EAS Build compiles iOS in the cloud, so a Mac isn't required to build. https://developer.apple.com/xcode/</t>
  </si>
  <si>
    <t>Same day (Mac App Store download takes about 1-2 hours)</t>
  </si>
  <si>
    <t>Project management and documentation</t>
  </si>
  <si>
    <t>Microsoft 365 (Teams, OneDrive, Word, Excel): Shared documents, status reports, and this BOM.
Part #/SKU: Microsoft 365 A-series education license (GCU tenant)
Unit: user license | License: Academic license
Pricing: $0 (included with GCU enrollment) | Renewal: Active while enrolled
Funding: Free (academic)
Notes: The team's main day-to-day channel is text messaging (charter Appendix B)</t>
  </si>
  <si>
    <t>Already provisioned (GCU student accounts)</t>
  </si>
  <si>
    <t>Microsoft Corp. (through GCU)</t>
  </si>
  <si>
    <t>Grand Canyon University (Microsoft 365 tenant)
3300 W Camelback Rd, Phoenix, AZ 85017
GCU IT Help Desk via the student portal (https://halo.gcu.edu)</t>
  </si>
  <si>
    <t>Total project cost (all items)</t>
  </si>
  <si>
    <t>Paid by Studio XE</t>
  </si>
  <si>
    <t>Team cost - Claude Pro (counts against team budget)</t>
  </si>
  <si>
    <t>Team budget limit (charter)</t>
  </si>
  <si>
    <t>Team budget remaining</t>
  </si>
  <si>
    <t>Prices and versions as of 10/13/2026 from vendor websites. Phone, Apple Developer, and Google Play costs per the partner agreement (2 developer phones, $2,500 total). Partner-provided services and free tools are listed at $0. Revision 1.0, 10/13/2026.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</si>
</sst>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/>
    <xf numFmtId="0" fontId="3" fillId="0" borderId="0" xfId="0" applyFont="1" applyAlignment="1">
      <alignment vertical="top" wrapText="1"/>
    </xf>
    <xf numFmtId="0" fontId="1" fillId="0" borderId="1" xfId="0" applyFon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6" customWidth="1"/>
    <col min="3" max="3" width="60" customWidth="1"/>
    <col min="4" max="4" width="10" customWidth="1"/>
    <col min="5" max="6" width="13" customWidth="1"/>
    <col min="7" max="7" width="30" customWidth="1"/>
    <col min="8" max="8" width="20" customWidth="1"/>
    <col min="9" max="9" width="50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40" x14ac:dyDescent="0.25">
      <c r="A2" s="2">
        <v>1</v>
      </c>
      <c r="B2" s="2" t="s">
        <v>9</v>
      </c>
      <c r="C2" s="2" t="s">
        <v>10</v>
      </c>
      <c r="D2" s="3">
        <v>28</v>
      </c>
      <c r="E2" s="4">
        <v>21.82</v>
      </c>
      <c r="F2" s="4">
        <f t="shared" ref="F2:F23" si="0">D2*E2</f>
        <v>610.96</v>
      </c>
      <c r="G2" s="2" t="s">
        <v>11</v>
      </c>
      <c r="H2" s="2" t="s">
        <v>12</v>
      </c>
      <c r="I2" s="2" t="s">
        <v>13</v>
      </c>
    </row>
    <row r="3" spans="1:9" ht="165" x14ac:dyDescent="0.25">
      <c r="A3" s="2">
        <v>2</v>
      </c>
      <c r="B3" s="2" t="s">
        <v>14</v>
      </c>
      <c r="C3" s="2" t="s">
        <v>15</v>
      </c>
      <c r="D3" s="3">
        <v>1</v>
      </c>
      <c r="E3" s="4">
        <v>99</v>
      </c>
      <c r="F3" s="4">
        <f t="shared" si="0"/>
        <v>99</v>
      </c>
      <c r="G3" s="2" t="s">
        <v>16</v>
      </c>
      <c r="H3" s="2" t="s">
        <v>17</v>
      </c>
      <c r="I3" s="2" t="s">
        <v>18</v>
      </c>
    </row>
    <row r="4" spans="1:9" ht="165" x14ac:dyDescent="0.25">
      <c r="A4" s="2">
        <v>3</v>
      </c>
      <c r="B4" s="2" t="s">
        <v>19</v>
      </c>
      <c r="C4" s="2" t="s">
        <v>20</v>
      </c>
      <c r="D4" s="3">
        <v>1</v>
      </c>
      <c r="E4" s="4">
        <v>25</v>
      </c>
      <c r="F4" s="4">
        <f t="shared" si="0"/>
        <v>25</v>
      </c>
      <c r="G4" s="2" t="s">
        <v>21</v>
      </c>
      <c r="H4" s="2" t="s">
        <v>22</v>
      </c>
      <c r="I4" s="2" t="s">
        <v>23</v>
      </c>
    </row>
    <row r="5" spans="1:9" ht="165" x14ac:dyDescent="0.25">
      <c r="A5" s="2">
        <v>4</v>
      </c>
      <c r="B5" s="2" t="s">
        <v>24</v>
      </c>
      <c r="C5" s="2" t="s">
        <v>25</v>
      </c>
      <c r="D5" s="3">
        <v>1</v>
      </c>
      <c r="E5" s="4">
        <v>0</v>
      </c>
      <c r="F5" s="4">
        <f t="shared" si="0"/>
        <v>0</v>
      </c>
      <c r="G5" s="2" t="s">
        <v>26</v>
      </c>
      <c r="H5" s="2" t="s">
        <v>17</v>
      </c>
      <c r="I5" s="2" t="s">
        <v>18</v>
      </c>
    </row>
    <row r="6" spans="1:9" ht="120" x14ac:dyDescent="0.25">
      <c r="A6" s="2">
        <v>5</v>
      </c>
      <c r="B6" s="2" t="s">
        <v>27</v>
      </c>
      <c r="C6" s="2" t="s">
        <v>28</v>
      </c>
      <c r="D6" s="3">
        <v>1</v>
      </c>
      <c r="E6" s="4">
        <v>0</v>
      </c>
      <c r="F6" s="4">
        <f t="shared" si="0"/>
        <v>0</v>
      </c>
      <c r="G6" s="2" t="s">
        <v>29</v>
      </c>
      <c r="H6" s="2" t="s">
        <v>22</v>
      </c>
      <c r="I6" s="2" t="s">
        <v>23</v>
      </c>
    </row>
    <row r="7" spans="1:9" ht="195" x14ac:dyDescent="0.25">
      <c r="A7" s="2">
        <v>6</v>
      </c>
      <c r="B7" s="2" t="s">
        <v>30</v>
      </c>
      <c r="C7" s="2" t="s">
        <v>31</v>
      </c>
      <c r="D7" s="3">
        <v>1</v>
      </c>
      <c r="E7" s="4">
        <v>0</v>
      </c>
      <c r="F7" s="4">
        <f t="shared" si="0"/>
        <v>0</v>
      </c>
      <c r="G7" s="2" t="s">
        <v>32</v>
      </c>
      <c r="H7" s="2" t="s">
        <v>33</v>
      </c>
      <c r="I7" s="2" t="s">
        <v>34</v>
      </c>
    </row>
    <row r="8" spans="1:9" ht="195" x14ac:dyDescent="0.25">
      <c r="A8" s="2">
        <v>7</v>
      </c>
      <c r="B8" s="2" t="s">
        <v>35</v>
      </c>
      <c r="C8" s="2" t="s">
        <v>36</v>
      </c>
      <c r="D8" s="3">
        <v>1</v>
      </c>
      <c r="E8" s="4">
        <v>0</v>
      </c>
      <c r="F8" s="4">
        <f t="shared" si="0"/>
        <v>0</v>
      </c>
      <c r="G8" s="2" t="s">
        <v>37</v>
      </c>
      <c r="H8" s="2" t="s">
        <v>38</v>
      </c>
      <c r="I8" s="2" t="s">
        <v>39</v>
      </c>
    </row>
    <row r="9" spans="1:9" ht="180" x14ac:dyDescent="0.25">
      <c r="A9" s="2">
        <v>8</v>
      </c>
      <c r="B9" s="2" t="s">
        <v>40</v>
      </c>
      <c r="C9" s="2" t="s">
        <v>41</v>
      </c>
      <c r="D9" s="3">
        <v>1</v>
      </c>
      <c r="E9" s="4">
        <v>0</v>
      </c>
      <c r="F9" s="4">
        <f t="shared" si="0"/>
        <v>0</v>
      </c>
      <c r="G9" s="2" t="s">
        <v>42</v>
      </c>
      <c r="H9" s="2" t="s">
        <v>43</v>
      </c>
      <c r="I9" s="2" t="s">
        <v>44</v>
      </c>
    </row>
    <row r="10" spans="1:9" ht="150" x14ac:dyDescent="0.25">
      <c r="A10" s="2">
        <v>9</v>
      </c>
      <c r="B10" s="2" t="s">
        <v>45</v>
      </c>
      <c r="C10" s="2" t="s">
        <v>46</v>
      </c>
      <c r="D10" s="3">
        <v>4</v>
      </c>
      <c r="E10" s="4">
        <v>0</v>
      </c>
      <c r="F10" s="4">
        <f t="shared" si="0"/>
        <v>0</v>
      </c>
      <c r="G10" s="2" t="s">
        <v>47</v>
      </c>
      <c r="H10" s="2" t="s">
        <v>48</v>
      </c>
      <c r="I10" s="2" t="s">
        <v>49</v>
      </c>
    </row>
    <row r="11" spans="1:9" ht="165" x14ac:dyDescent="0.25">
      <c r="A11" s="2">
        <v>10</v>
      </c>
      <c r="B11" s="2" t="s">
        <v>50</v>
      </c>
      <c r="C11" s="2" t="s">
        <v>51</v>
      </c>
      <c r="D11" s="3">
        <v>1</v>
      </c>
      <c r="E11" s="4">
        <v>0</v>
      </c>
      <c r="F11" s="4">
        <f t="shared" si="0"/>
        <v>0</v>
      </c>
      <c r="G11" s="2" t="s">
        <v>52</v>
      </c>
      <c r="H11" s="2" t="s">
        <v>48</v>
      </c>
      <c r="I11" s="2" t="s">
        <v>49</v>
      </c>
    </row>
    <row r="12" spans="1:9" ht="195" x14ac:dyDescent="0.25">
      <c r="A12" s="2">
        <v>11</v>
      </c>
      <c r="B12" s="2" t="s">
        <v>53</v>
      </c>
      <c r="C12" s="2" t="s">
        <v>54</v>
      </c>
      <c r="D12" s="3">
        <v>1</v>
      </c>
      <c r="E12" s="4">
        <v>1250</v>
      </c>
      <c r="F12" s="4">
        <f t="shared" si="0"/>
        <v>1250</v>
      </c>
      <c r="G12" s="2" t="s">
        <v>55</v>
      </c>
      <c r="H12" s="2" t="s">
        <v>17</v>
      </c>
      <c r="I12" s="2" t="s">
        <v>56</v>
      </c>
    </row>
    <row r="13" spans="1:9" ht="180" x14ac:dyDescent="0.25">
      <c r="A13" s="2">
        <v>12</v>
      </c>
      <c r="B13" s="2" t="s">
        <v>57</v>
      </c>
      <c r="C13" s="2" t="s">
        <v>58</v>
      </c>
      <c r="D13" s="3">
        <v>1</v>
      </c>
      <c r="E13" s="4">
        <v>1250</v>
      </c>
      <c r="F13" s="4">
        <f t="shared" si="0"/>
        <v>1250</v>
      </c>
      <c r="G13" s="2" t="s">
        <v>59</v>
      </c>
      <c r="H13" s="2" t="s">
        <v>22</v>
      </c>
      <c r="I13" s="2" t="s">
        <v>60</v>
      </c>
    </row>
    <row r="14" spans="1:9" ht="165" x14ac:dyDescent="0.25">
      <c r="A14" s="2">
        <v>13</v>
      </c>
      <c r="B14" s="2" t="s">
        <v>61</v>
      </c>
      <c r="C14" s="2" t="s">
        <v>62</v>
      </c>
      <c r="D14" s="3">
        <v>4</v>
      </c>
      <c r="E14" s="4">
        <v>0</v>
      </c>
      <c r="F14" s="4">
        <f t="shared" si="0"/>
        <v>0</v>
      </c>
      <c r="G14" s="2" t="s">
        <v>63</v>
      </c>
      <c r="H14" s="2" t="s">
        <v>33</v>
      </c>
      <c r="I14" s="2" t="s">
        <v>34</v>
      </c>
    </row>
    <row r="15" spans="1:9" ht="135" x14ac:dyDescent="0.25">
      <c r="A15" s="2">
        <v>14</v>
      </c>
      <c r="B15" s="2" t="s">
        <v>64</v>
      </c>
      <c r="C15" s="2" t="s">
        <v>65</v>
      </c>
      <c r="D15" s="3">
        <v>4</v>
      </c>
      <c r="E15" s="4">
        <v>0</v>
      </c>
      <c r="F15" s="4">
        <f t="shared" si="0"/>
        <v>0</v>
      </c>
      <c r="G15" s="2" t="s">
        <v>63</v>
      </c>
      <c r="H15" s="2" t="s">
        <v>66</v>
      </c>
      <c r="I15" s="2" t="s">
        <v>67</v>
      </c>
    </row>
    <row r="16" spans="1:9" ht="135" x14ac:dyDescent="0.25">
      <c r="A16" s="2">
        <v>15</v>
      </c>
      <c r="B16" s="2" t="s">
        <v>68</v>
      </c>
      <c r="C16" s="2" t="s">
        <v>69</v>
      </c>
      <c r="D16" s="3">
        <v>4</v>
      </c>
      <c r="E16" s="4">
        <v>0</v>
      </c>
      <c r="F16" s="4">
        <f t="shared" si="0"/>
        <v>0</v>
      </c>
      <c r="G16" s="2" t="s">
        <v>70</v>
      </c>
      <c r="H16" s="2" t="s">
        <v>38</v>
      </c>
      <c r="I16" s="2" t="s">
        <v>39</v>
      </c>
    </row>
    <row r="17" spans="1:9" ht="150" x14ac:dyDescent="0.25">
      <c r="A17" s="2">
        <v>16</v>
      </c>
      <c r="B17" s="2" t="s">
        <v>71</v>
      </c>
      <c r="C17" s="2" t="s">
        <v>72</v>
      </c>
      <c r="D17" s="3">
        <v>4</v>
      </c>
      <c r="E17" s="4">
        <v>0</v>
      </c>
      <c r="F17" s="4">
        <f t="shared" si="0"/>
        <v>0</v>
      </c>
      <c r="G17" s="2" t="s">
        <v>73</v>
      </c>
      <c r="H17" s="2" t="s">
        <v>74</v>
      </c>
      <c r="I17" s="2" t="s">
        <v>75</v>
      </c>
    </row>
    <row r="18" spans="1:9" ht="120" x14ac:dyDescent="0.25">
      <c r="A18" s="2">
        <v>17</v>
      </c>
      <c r="B18" s="2" t="s">
        <v>76</v>
      </c>
      <c r="C18" s="2" t="s">
        <v>77</v>
      </c>
      <c r="D18" s="3">
        <v>4</v>
      </c>
      <c r="E18" s="4">
        <v>0</v>
      </c>
      <c r="F18" s="4">
        <f t="shared" si="0"/>
        <v>0</v>
      </c>
      <c r="G18" s="2" t="s">
        <v>63</v>
      </c>
      <c r="H18" s="2" t="s">
        <v>78</v>
      </c>
      <c r="I18" s="2" t="s">
        <v>79</v>
      </c>
    </row>
    <row r="19" spans="1:9" ht="135" x14ac:dyDescent="0.25">
      <c r="A19" s="2">
        <v>18</v>
      </c>
      <c r="B19" s="2" t="s">
        <v>80</v>
      </c>
      <c r="C19" s="2" t="s">
        <v>81</v>
      </c>
      <c r="D19" s="3">
        <v>4</v>
      </c>
      <c r="E19" s="4">
        <v>0</v>
      </c>
      <c r="F19" s="4">
        <f t="shared" si="0"/>
        <v>0</v>
      </c>
      <c r="G19" s="2" t="s">
        <v>82</v>
      </c>
      <c r="H19" s="2" t="s">
        <v>83</v>
      </c>
      <c r="I19" s="2" t="s">
        <v>79</v>
      </c>
    </row>
    <row r="20" spans="1:9" ht="120" x14ac:dyDescent="0.25">
      <c r="A20" s="2">
        <v>19</v>
      </c>
      <c r="B20" s="2" t="s">
        <v>84</v>
      </c>
      <c r="C20" s="2" t="s">
        <v>85</v>
      </c>
      <c r="D20" s="3">
        <v>4</v>
      </c>
      <c r="E20" s="4">
        <v>0</v>
      </c>
      <c r="F20" s="4">
        <f t="shared" si="0"/>
        <v>0</v>
      </c>
      <c r="G20" s="2" t="s">
        <v>82</v>
      </c>
      <c r="H20" s="2" t="s">
        <v>86</v>
      </c>
      <c r="I20" s="2" t="s">
        <v>87</v>
      </c>
    </row>
    <row r="21" spans="1:9" ht="135" x14ac:dyDescent="0.25">
      <c r="A21" s="2">
        <v>20</v>
      </c>
      <c r="B21" s="2" t="s">
        <v>88</v>
      </c>
      <c r="C21" s="2" t="s">
        <v>89</v>
      </c>
      <c r="D21" s="3">
        <v>4</v>
      </c>
      <c r="E21" s="4">
        <v>0</v>
      </c>
      <c r="F21" s="4">
        <f t="shared" si="0"/>
        <v>0</v>
      </c>
      <c r="G21" s="2" t="s">
        <v>90</v>
      </c>
      <c r="H21" s="2" t="s">
        <v>22</v>
      </c>
      <c r="I21" s="2" t="s">
        <v>91</v>
      </c>
    </row>
    <row r="22" spans="1:9" ht="135" x14ac:dyDescent="0.25">
      <c r="A22" s="2">
        <v>21</v>
      </c>
      <c r="B22" s="2" t="s">
        <v>92</v>
      </c>
      <c r="C22" s="2" t="s">
        <v>93</v>
      </c>
      <c r="D22" s="3">
        <v>1</v>
      </c>
      <c r="E22" s="4">
        <v>0</v>
      </c>
      <c r="F22" s="4">
        <f t="shared" si="0"/>
        <v>0</v>
      </c>
      <c r="G22" s="2" t="s">
        <v>94</v>
      </c>
      <c r="H22" s="2" t="s">
        <v>17</v>
      </c>
      <c r="I22" s="2" t="s">
        <v>18</v>
      </c>
    </row>
    <row r="23" spans="1:9" ht="150" x14ac:dyDescent="0.25">
      <c r="A23" s="2">
        <v>22</v>
      </c>
      <c r="B23" s="2" t="s">
        <v>95</v>
      </c>
      <c r="C23" s="2" t="s">
        <v>96</v>
      </c>
      <c r="D23" s="3">
        <v>4</v>
      </c>
      <c r="E23" s="4">
        <v>0</v>
      </c>
      <c r="F23" s="4">
        <f t="shared" si="0"/>
        <v>0</v>
      </c>
      <c r="G23" s="2" t="s">
        <v>97</v>
      </c>
      <c r="H23" s="2" t="s">
        <v>98</v>
      </c>
      <c r="I23" s="2" t="s">
        <v>99</v>
      </c>
    </row>
    <row r="25" spans="1:9" x14ac:dyDescent="0.25">
      <c r="C25" s="7" t="s">
        <v>100</v>
      </c>
      <c r="D25" s="8"/>
      <c r="E25" s="8"/>
      <c r="F25" s="5">
        <f>SUM(F2:F23)</f>
        <v>3234.96</v>
      </c>
    </row>
    <row r="26" spans="1:9" x14ac:dyDescent="0.25">
      <c r="C26" s="7" t="s">
        <v>101</v>
      </c>
      <c r="D26" s="8"/>
      <c r="E26" s="8"/>
      <c r="F26" s="5">
        <f>SUM(F3,F4,F12,F13)</f>
        <v>2624</v>
      </c>
    </row>
    <row r="27" spans="1:9" x14ac:dyDescent="0.25">
      <c r="C27" s="7" t="s">
        <v>102</v>
      </c>
      <c r="D27" s="8"/>
      <c r="E27" s="8"/>
      <c r="F27" s="5">
        <f>SUM(F2)</f>
        <v>610.96</v>
      </c>
    </row>
    <row r="28" spans="1:9" x14ac:dyDescent="0.25">
      <c r="C28" s="7" t="s">
        <v>103</v>
      </c>
      <c r="D28" s="8"/>
      <c r="E28" s="8"/>
      <c r="F28" s="5">
        <v>4000</v>
      </c>
    </row>
    <row r="29" spans="1:9" x14ac:dyDescent="0.25">
      <c r="C29" s="7" t="s">
        <v>104</v>
      </c>
      <c r="D29" s="8"/>
      <c r="E29" s="8"/>
      <c r="F29" s="5">
        <f>F28-F27</f>
        <v>3389.04</v>
      </c>
    </row>
    <row r="31" spans="1:9" ht="51" x14ac:dyDescent="0.25">
      <c r="C31" s="6" t="s">
        <v>105</v>
      </c>
    </row>
  </sheetData>
  <mergeCells count="5">
    <mergeCell ref="C28:E28"/>
    <mergeCell ref="C27:E27"/>
    <mergeCell ref="C26:E26"/>
    <mergeCell ref="C29:E29"/>
    <mergeCell ref="C25:E25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J Hoyle</cp:lastModifiedBy>
  <dcterms:created xsi:type="dcterms:W3CDTF">2026-10-13T23:09:25Z</dcterms:created>
  <dcterms:modified xsi:type="dcterms:W3CDTF">2026-10-13T23:09:36Z</dcterms:modified>
</cp:coreProperties>
</file>